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honeywellprod.sharepoint.com/teams/GES-INDIA-AS-MESTeamSite/Project Documents/India/INP - 020414 - RIL - AOP/3. Project Engineering/01. MEG/03. DCT/"/>
    </mc:Choice>
  </mc:AlternateContent>
  <xr:revisionPtr revIDLastSave="960" documentId="8_{6CC76399-3837-4E7F-9F08-161DDF64E46D}" xr6:coauthVersionLast="47" xr6:coauthVersionMax="47" xr10:uidLastSave="{C4FEE215-8BDA-4A67-84D8-29D42FE9448B}"/>
  <bookViews>
    <workbookView xWindow="11100" yWindow="0" windowWidth="11856" windowHeight="12360" activeTab="1" xr2:uid="{988B0BD7-DC04-495B-A73C-20F621E49A13}"/>
  </bookViews>
  <sheets>
    <sheet name="Identifier" sheetId="1" r:id="rId1"/>
    <sheet name="DCT Norms Basis" sheetId="2" r:id="rId2"/>
  </sheets>
  <definedNames>
    <definedName name="_xlnm._FilterDatabase" localSheetId="0" hidden="1">Identifier!$B$83:$R$83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3" i="1" l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Veeramani Shanmugam</author>
  </authors>
  <commentList>
    <comment ref="F7" authorId="0" shapeId="0" xr:uid="{7820879F-3622-4C00-B973-36BE4C81F8AB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0.1022- DEG Yield
Formula is incorrect it should either be Yiels/EOE or only Yield.</t>
        </r>
      </text>
    </comment>
    <comment ref="H7" authorId="0" shapeId="0" xr:uid="{D3AAD8D7-D79B-4653-AF7D-45C1C4D8E7DB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0.101 - DEG Yield</t>
        </r>
      </text>
    </comment>
    <comment ref="J7" authorId="0" shapeId="0" xr:uid="{7F34A4D8-0C2B-4B2B-84C5-2B8135ACAA2B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0.1141 - DEG Yield</t>
        </r>
      </text>
    </comment>
    <comment ref="L7" authorId="0" shapeId="0" xr:uid="{8353503B-B23A-46AA-A3DF-61BDAC4D1FC2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0.1141 - DEG Yield</t>
        </r>
      </text>
    </comment>
    <comment ref="N7" authorId="0" shapeId="0" xr:uid="{497479C3-A641-45B0-AC71-C716243CAB51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0.1141 - DEG Yield</t>
        </r>
      </text>
    </comment>
    <comment ref="H8" authorId="0" shapeId="0" xr:uid="{C024484A-8EFE-4BD8-BFBE-B3F48F734850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0.0033 - TEG  Yield</t>
        </r>
      </text>
    </comment>
    <comment ref="J8" authorId="0" shapeId="0" xr:uid="{8109EBEE-ABE8-4B58-AE42-D1BC979BD417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0.00629- TEG  Yield</t>
        </r>
      </text>
    </comment>
    <comment ref="L8" authorId="0" shapeId="0" xr:uid="{FD243C70-53C8-4813-93CB-01BABEA89FD8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0.00629- TEG  Yield</t>
        </r>
      </text>
    </comment>
    <comment ref="N8" authorId="0" shapeId="0" xr:uid="{03330673-C7B2-4607-A60D-9527B9C450E0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0.00629- TEG  Yield</t>
        </r>
      </text>
    </comment>
    <comment ref="H10" authorId="0" shapeId="0" xr:uid="{1835E255-C065-4FA8-B3E4-90FF047B00D8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0.0030- PEG  Yield</t>
        </r>
      </text>
    </comment>
    <comment ref="P11" authorId="0" shapeId="0" xr:uid="{08EEFA8B-2429-4BAC-9404-3F0D7791437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0.08- PEG  Yield</t>
        </r>
      </text>
    </comment>
    <comment ref="R11" authorId="0" shapeId="0" xr:uid="{90E80CCC-DF71-46DC-9EB5-606956EE31E7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(3%)*(105.5/2/44.05) = PEG  Yield</t>
        </r>
      </text>
    </comment>
    <comment ref="J12" authorId="0" shapeId="0" xr:uid="{084238DF-90B6-466E-BDD1-82BE2E4A315C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0.0015 - GR1 Norm</t>
        </r>
      </text>
    </comment>
    <comment ref="L12" authorId="0" shapeId="0" xr:uid="{5DDA0AFD-19E7-48C2-AAB8-B96BF0EA10D8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0.0015 - GR1 Norm</t>
        </r>
      </text>
    </comment>
    <comment ref="N12" authorId="0" shapeId="0" xr:uid="{1BFB7D03-198D-4215-9E19-E8E58D89E6A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0.0015 - GR1 Norm</t>
        </r>
      </text>
    </comment>
    <comment ref="J13" authorId="0" shapeId="0" xr:uid="{FBEE557F-B4CC-4F5A-8F77-D52FE301EA5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0.0015 - GR2 Norm</t>
        </r>
      </text>
    </comment>
    <comment ref="L13" authorId="0" shapeId="0" xr:uid="{71940527-A49A-40B3-8479-34419AECE2B9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0.0015 - GR2Norm</t>
        </r>
      </text>
    </comment>
    <comment ref="N13" authorId="0" shapeId="0" xr:uid="{9900874F-30CC-4B97-B5E1-5C388F599D78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0.0015 - GR2 Norm</t>
        </r>
      </text>
    </comment>
    <comment ref="F17" authorId="0" shapeId="0" xr:uid="{D4A8634D-846E-49D2-A36A-B71840E43812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28.05 - Ethylene Molecular Weight
44.05 - EO molecular weight
0.9995 - Ethylene Purity (wt%)
0.32 - Ethylene concentration in argon purge (Mol %)
16 - Methane molecular weight
0.525 - Methane concentration in argon purge (Mol %)</t>
        </r>
      </text>
    </comment>
    <comment ref="H17" authorId="0" shapeId="0" xr:uid="{8EEC57DC-C9FE-4347-BB5E-97D53586F237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28.05 - Ethylene Molecular Weight
44.05 - EO molecular weight
0.9995 - Ethylene Purity (wt%)
0.28 - Ethylene concentration in argon purge (Mol %)
16 - Methane molecular weight
0.55 - Methane concentration in argon purge (Mol %)
1.9 - Allocated Ethyelene consumptions (TPD)</t>
        </r>
      </text>
    </comment>
    <comment ref="J17" authorId="0" shapeId="0" xr:uid="{E12D7194-22A0-45CB-868E-9CDC2A545631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1.001 - decimals = EOE Losses (fr)
28 - Ethylene Molecular Weight
44 - EO molecular weight
0.28 - Ethylene concentration in argon purge (Mol %)
16 - Methane molecular weight
0.54 - Methane concentration in argon purge (Mol %)
0.999 - Ethylene Purity (wt%)
0.135 - 1.9 - Allocated Ethyelene consumptions (TPD)</t>
        </r>
      </text>
    </comment>
    <comment ref="L17" authorId="0" shapeId="0" xr:uid="{E9641051-D3F8-40D6-ACC0-6CD708237E4C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1.001 - decimals = EOE Losses (fr)
28 - Ethylene Molecular Weight
44 - EO molecular weight
0.28 - Ethylene concentration in argon purge (Mol %)
16 - Methane molecular weight
0.54 - Methane concentration in argon purge (Mol %)
0.999 - Ethylene Purity (wt%)
0.135 - 1.9 - Allocated Ethyelene consumptions (TPD)</t>
        </r>
      </text>
    </comment>
    <comment ref="N17" authorId="0" shapeId="0" xr:uid="{07563CA4-EBD8-42E0-818D-3408E7D1D8C4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1.001 - decimals = EOE Losses (fr)
28 - Ethylene Molecular Weight
44 - EO molecular weight
0.28 - Ethylene concentration in argon purge (Mol %)
16 - Methane molecular weight
0.54 - Methane concentration in argon purge (Mol %)
0.999 - Ethylene Purity (wt%)
0.135 - 1.9 - Allocated Ethyelene consumptions (TPD)</t>
        </r>
      </text>
    </comment>
    <comment ref="P17" authorId="0" shapeId="0" xr:uid="{7BFF2175-D43E-4D02-86FA-E58D5733F3FA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28.05 - Ethylene Molecular Weight
44.05 - EO molecular weight
1.018 - decimals = Ethylene losses (fr)
0.997 - Ethylene Purity (wt%)</t>
        </r>
      </text>
    </comment>
    <comment ref="R17" authorId="0" shapeId="0" xr:uid="{35EBD566-B04E-4EF6-9C17-21C9ED2BC275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28.05 - Ethylene Molecular Weight
44.05 - EO molecular weight
1.02 - Decimals = unaccounted losses
0.998 - Ethylene Purity (wt%)
30 - Argon purge flow (kg/h)
21.5 - Argon purge molecular weight
35 - ethylene concentration in purge (mol%)
0.003 - Ethylene content in CO2 (fr)
5 - Ethylene loss as per COD.</t>
        </r>
      </text>
    </comment>
    <comment ref="F18" authorId="0" shapeId="0" xr:uid="{36B4F74A-2094-4C31-8DC3-AE8C39D3D16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2.1818,1.881 - Stoichiometric Ratios
44.05 - EO molecular weight
32 - Oxygen molecular weight
0.065 - Oxygen concentration in argon purge (Mol %)
16 - Methane molecular weight
0.525 - Methane concentration in argon purge (Mol %)
0.998 - Oxygen Purity (wt%)</t>
        </r>
      </text>
    </comment>
    <comment ref="H18" authorId="0" shapeId="0" xr:uid="{7F645A60-E0C4-48C4-94C5-E5803D00504C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32 - Oxygen molecular weight
44.05 - EO molecular weight
3,2.5 - Stoichiometric Ratios
0.996 - Oxygen Purity (wt%)
0.052 - Oxygen concentration in argon purge (Mol %)
16 - Methane molecular weight
0.54 - Methane concentration in argon purge (Mol %)</t>
        </r>
      </text>
    </comment>
    <comment ref="P18" authorId="0" shapeId="0" xr:uid="{30813BAC-8C0D-47A9-8EC1-A6D1280A9CCD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32 - Oxygen molecular weight
44.05 - EO molecular weight
120,40 - Stoichiometric Ratios
1.008 - decimals = Oxygen losses (fr)
0.997 - Oxygen Purity (wt%)</t>
        </r>
      </text>
    </comment>
    <comment ref="R18" authorId="0" shapeId="0" xr:uid="{949AE4E9-09A2-4DB7-A93F-77E6BE281BB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32 - Oxygen molecular weight
44.05 - EO molecular weight
3,2.5 - Stoichiometric Ratios
0.998 - Oxygen Purity (wt%)
30 - Argon purge flow (kg/h)
21.5 - Argon purge molecular weight
5.8 - Oxygen concentration in purge (mol%)
0.54 - Methane concentration in argon purge (Mol %)
4.3 - Oxygen loss as per COD.</t>
        </r>
      </text>
    </comment>
    <comment ref="J19" authorId="0" shapeId="0" xr:uid="{E35EA49E-50BF-484E-BBB5-B4C46AB890CE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1.001 - decimals = EOE Losses (fr)
2.1818,1.881 - Stoichiometric Ratios
32 - Oxygen molecular weight
0.05 - Oxygen concentration in argon purge (Mol %)
16 - Methane molecular weight
0.54 - Methane concentration in argon purge (Mol %)
0.997 - Oxygen Purity (wt%)</t>
        </r>
      </text>
    </comment>
    <comment ref="L19" authorId="0" shapeId="0" xr:uid="{32EF536F-70BF-4BE5-964F-574FD50944A5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1.001 - decimals = EOE Losses (fr)
2.1818,1.881 - Stoichiometric Ratios
32 - Oxygen molecular weight
0.05 - Oxygen concentration in argon purge (Mol %)
16 - Methane molecular weight
0.54 - Methane concentration in argon purge (Mol %)
0.997 - Oxygen Purity (wt%)</t>
        </r>
      </text>
    </comment>
    <comment ref="N19" authorId="0" shapeId="0" xr:uid="{800449D4-1FE7-473F-83A1-0B8A1B10AA35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1.001 - decimals = EOE Losses (fr)
2.1818,1.881 - Stoichiometric Ratios
32 - Oxygen molecular weight
0.05 - Oxygen concentration in argon purge (Mol %)
16 - Methane molecular weight
0.54 - Methane concentration in argon purge (Mol %)
0.997 - Oxygen Purity (wt%)</t>
        </r>
      </text>
    </comment>
    <comment ref="J24" authorId="0" shapeId="0" xr:uid="{503CC143-2AA3-4116-A1DA-80D401FD54B6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0.9,0.9 - ???</t>
        </r>
      </text>
    </comment>
    <comment ref="L24" authorId="0" shapeId="0" xr:uid="{CDC30624-C3FB-40AB-B1DF-F1C750345FD4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0.9,0.9 - ???</t>
        </r>
      </text>
    </comment>
    <comment ref="N24" authorId="0" shapeId="0" xr:uid="{0D615EAD-7101-4341-A379-468FD6781D51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0.9,0.9 - ???</t>
        </r>
      </text>
    </comment>
    <comment ref="F25" authorId="0" shapeId="0" xr:uid="{CAD04BE4-A730-43A4-8D1C-C9D8F71DC974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40, 19 - ???</t>
        </r>
      </text>
    </comment>
    <comment ref="H25" authorId="0" shapeId="0" xr:uid="{3305A165-C2F0-4FF8-8B84-26BFA4DF7E8A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-0.51 - ???</t>
        </r>
      </text>
    </comment>
    <comment ref="P88" authorId="0" shapeId="0" xr:uid="{497229A6-5CE5-4D70-BB77-15252A298CE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44.05 - EO Molecular weight 
2 - Stoichiometric Ratio
44.01 - CO2 Molecular weight</t>
        </r>
      </text>
    </comment>
    <comment ref="R88" authorId="0" shapeId="0" xr:uid="{42292B03-A614-4DE8-AB6F-5799035E5E46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44.05 - EO Molecular weight 
2 - Stoichiometric Ratio
44.01 - CO2 Molecular weight</t>
        </r>
      </text>
    </comment>
    <comment ref="F93" authorId="0" shapeId="0" xr:uid="{781E05D0-2AF3-4F81-A856-4AAAF5E9C602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44.05 - EO Molecular weight
25.063 / 315.923 - Heat of reaction EO / CO2 (kcal/mol)</t>
        </r>
      </text>
    </comment>
    <comment ref="H93" authorId="0" shapeId="0" xr:uid="{A6904BCB-2007-4B29-8B95-C79D6980914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44.05 - EO Molecular weight
25.550 / 316.2 - Heat of reaction EO / CO2 (kcal/mol)</t>
        </r>
      </text>
    </comment>
    <comment ref="J93" authorId="0" shapeId="0" xr:uid="{996C1D6B-B134-4E5D-8B61-BE7701A57165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44.05 - EO Molecular weight
25.550 / 316.2 - Heat of reaction EO / CO2 (kcal/mol)</t>
        </r>
      </text>
    </comment>
    <comment ref="L93" authorId="0" shapeId="0" xr:uid="{BD0B680E-EDF8-4E70-88CD-22BC4DD81A72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44.05 - EO Molecular weight
25.550 / 316.2 - Heat of reaction EO / CO2 (kcal/mol)</t>
        </r>
      </text>
    </comment>
    <comment ref="N93" authorId="0" shapeId="0" xr:uid="{8B6070ED-B8C0-4178-8EB9-538D7D03E580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44.05 - EO Molecular weight
25.550 / 316.2 - Heat of reaction EO / CO2 (kcal/mol)</t>
        </r>
      </text>
    </comment>
    <comment ref="P93" authorId="0" shapeId="0" xr:uid="{03920F1D-373B-4244-AE25-DFF7692D2506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44.05 - EO Molecular weight
25.53 / 316.6 - Heat of reaction EO / CO2 (kcal/mol)</t>
        </r>
      </text>
    </comment>
    <comment ref="R93" authorId="0" shapeId="0" xr:uid="{F44BFDA9-F43F-4A8D-92DE-8E6D24E51B12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44.05 - EO Molecular weight
24.917 / 314.762 - Heat of reaction EO / CO2 (kcal/mol)</t>
        </r>
      </text>
    </comment>
    <comment ref="H94" authorId="0" shapeId="0" xr:uid="{D06C17EF-58B3-4CE2-BEB4-16EE839AE2AF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450 - Cycle gas flow (FT upstream of O2 feed) (TPH)
0.51 - Cycle gas CP (kcal/kg/°C)
5 - TDI, TST vs Reactor outlet (°C)
180 - Reactor Inlet Cycle gas Temperature (°C)</t>
        </r>
      </text>
    </comment>
    <comment ref="J94" authorId="0" shapeId="0" xr:uid="{36536E66-E9DB-4CA6-949A-E8E402A528D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320000 - Cycle gas flow (kg/h)
0.51 - Cycle gas CP (kcal/kg/°C)
6 - TDI, TST vs Reactor outlet (°C)
165 - Reactor Inlet Cycle gas Temperature (°C)</t>
        </r>
      </text>
    </comment>
    <comment ref="L94" authorId="0" shapeId="0" xr:uid="{36C512F0-CA00-46B9-8EC9-43EBA47FF2A1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320000 - Cycle gas flow (kg/h)
0.51 - Cycle gas CP (kcal/kg/°C)
6 - TDI, TST vs Reactor outlet (°C)
165 - Reactor Inlet Cycle gas Temperature (°C)</t>
        </r>
      </text>
    </comment>
    <comment ref="N94" authorId="0" shapeId="0" xr:uid="{38F408DF-7841-4518-A988-41A2BADE7D4F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320000 - Cycle gas flow (kg/h)
0.51 - Cycle gas CP (kcal/kg/°C)
6 - TDI, TST vs Reactor outlet (°C)
165 - Reactor Inlet Cycle gas Temperature (°C)</t>
        </r>
      </text>
    </comment>
    <comment ref="R94" authorId="0" shapeId="0" xr:uid="{01A95130-D458-4C5B-99E1-8005ED1008FB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65000 - Cycle gas flow (kg/h)
0.51 - Cycle gas CP (kcal/kg/°C)
42 - Cycle gas ΔT across Reactor (°C)</t>
        </r>
      </text>
    </comment>
    <comment ref="H96" authorId="0" shapeId="0" xr:uid="{FBC2C2EC-B09B-4DB1-B4BF-6CD29723E172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1.5 - Condensate blowdown rate (TPH)
1.05 - Water Cp (kcal/kg/°C)
170 - BFW Feed Temperature (°C)</t>
        </r>
      </text>
    </comment>
    <comment ref="J96" authorId="0" shapeId="0" xr:uid="{49A01815-55D6-4D9C-AB78-5924A4E3259A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1.5 - Condensate blowdown rate (TPH)
1.05 - Water Cp (kcal/kg/°C)
190 - BFW Feed Temperature (°C)</t>
        </r>
      </text>
    </comment>
    <comment ref="L96" authorId="0" shapeId="0" xr:uid="{3614B908-AE1C-4C5D-837F-D3EC481BBE46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1.5 - Condensate blowdown rate (TPH)
1.05 - Water Cp (kcal/kg/°C)
190 - BFW Feed Temperature (°C)</t>
        </r>
      </text>
    </comment>
    <comment ref="N96" authorId="0" shapeId="0" xr:uid="{070650BE-0C58-41CF-B9A5-F560DBB9F264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1.5 - Condensate blowdown rate (TPH)
1.05 - Water Cp (kcal/kg/°C)
190 - BFW Feed Temperature (°C)</t>
        </r>
      </text>
    </comment>
    <comment ref="R96" authorId="0" shapeId="0" xr:uid="{D9AB7661-24B6-427C-8686-0269894E144E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508 - Latent heat of steam from Oil cooler (kcal/kg)
1.05 - Water Cp (kcal/kg/°C)
216 - Condensate temperature in Oil Cooler (°C)
158 - BFW Feed Temperature (°C)</t>
        </r>
      </text>
    </comment>
    <comment ref="F98" authorId="0" shapeId="0" xr:uid="{6511B0E0-B3A3-46BE-BAAA-CB56CE36F6E6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1950000 - Cycle gas flow (kg/h)
0.5115 - Cycle gas CP (kcal/kg/°C)
0.1315,15 - Linear equation coefficients (m,c) of CG ΔT vs TST</t>
        </r>
      </text>
    </comment>
    <comment ref="H98" authorId="0" shapeId="0" xr:uid="{4C65EDBB-F52A-4420-900C-52B3FA8671E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450 - Cycle gas flow (FT upstream of O2 feed) (TPH)
0.51 - Cycle gas CP (kcal/kg/°C)
5 - TDI, TST vs Reactor outlet (°C)
221 - Cycle gas cooler cycle gas outlet temperature (°C)</t>
        </r>
      </text>
    </comment>
    <comment ref="J98" authorId="0" shapeId="0" xr:uid="{D963C283-40D7-4549-B9D2-2D452F75F16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320000 - Cycle gas flow (kg/h)
0.53 - Cycle gas CP (kcal/kg/°C)
6 - TDI, TST vs Reactor outlet (°C)
204 - Cycle gas cooler cycle gas outlet temperature (°C)</t>
        </r>
      </text>
    </comment>
    <comment ref="L98" authorId="0" shapeId="0" xr:uid="{ADE46D02-CDE3-4E56-9F7A-BC28274296D7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320000 - Cycle gas flow (kg/h)
0.53 - Cycle gas CP (kcal/kg/°C)
6 - TDI, TST vs Reactor outlet (°C)
204 - Cycle gas cooler cycle gas outlet temperature (°C)</t>
        </r>
      </text>
    </comment>
    <comment ref="N98" authorId="0" shapeId="0" xr:uid="{CE724462-4C68-4D3A-B77D-18FFACE08CEC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320000 - Cycle gas flow (kg/h)
0.53 - Cycle gas CP (kcal/kg/°C)
6 - TDI, TST vs Reactor outlet (°C)
204 - Cycle gas cooler cycle gas outlet temperature (°C)</t>
        </r>
      </text>
    </comment>
    <comment ref="P98" authorId="0" shapeId="0" xr:uid="{EA1E4617-2F9C-46E7-8B8F-264BDB20A1C5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210000 - Cycle gas flow (kg/h)
0.5131 - Cycle gas CP (kcal/kg/°C)
35 - Cycle gas Δ T (°C)</t>
        </r>
      </text>
    </comment>
    <comment ref="F100" authorId="0" shapeId="0" xr:uid="{494E8F78-AC3E-423D-9B68-EB519F51957B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10 - Blowdown rate (TPH)
1.14 - Water Cp (kcal/kg/°C)
180 - BFW feed temperature (°C)
1.05 - Water Cp (kcal/kg/°C)</t>
        </r>
      </text>
    </comment>
    <comment ref="H100" authorId="0" shapeId="0" xr:uid="{A600C10C-EBD2-48A0-84AA-0B40B0D7C68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448.1 - Latent heat in Gas cooler steam drum (kcal/kg)
1.05 - Water Cp (kcal/kg/°C)
194 - Condensate temperature in Gas cooler steam drum (°C)
170 - BFW Feed temperature (°C)</t>
        </r>
      </text>
    </comment>
    <comment ref="J100" authorId="0" shapeId="0" xr:uid="{CF9B4874-814C-4ECC-AFFA-EB2F04990D93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1.05 - Water Cp (kcal/kg/°C)
219 - Condensate temperature in Gas cooler steam drum (°C)
200 - BFW Feed temperature (°C)
463.1 - Latent heat in Gas cooler steam drum (kcal/kg)</t>
        </r>
      </text>
    </comment>
    <comment ref="L100" authorId="0" shapeId="0" xr:uid="{626075BB-BA36-47AC-A778-F076172C09C7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1.05 - Water Cp (kcal/kg/°C)
219 - Condensate temperature in Gas cooler steam drum (°C)
200 - BFW Feed temperature (°C)
463.1 - Latent heat in Gas cooler steam drum (kcal/kg)</t>
        </r>
      </text>
    </comment>
    <comment ref="N100" authorId="0" shapeId="0" xr:uid="{D0B634D2-EDC0-48C9-888E-E4BEB4E5DFB2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1.05 - Water Cp (kcal/kg/°C)
219 - Condensate temperature in Gas cooler steam drum (°C)
200 - BFW Feed temperature (°C)
463.1 - Latent heat in Gas cooler steam drum (kcal/kg)</t>
        </r>
      </text>
    </comment>
    <comment ref="P100" authorId="0" shapeId="0" xr:uid="{F3C496C5-F765-4F06-9B5F-557D62E71420}">
      <text>
        <r>
          <rPr>
            <b/>
            <sz val="9"/>
            <color indexed="81"/>
            <rFont val="Tahoma"/>
            <family val="2"/>
          </rPr>
          <t>Veeramani Shanmugam:</t>
        </r>
        <r>
          <rPr>
            <sz val="9"/>
            <color indexed="81"/>
            <rFont val="Tahoma"/>
            <family val="2"/>
          </rPr>
          <t xml:space="preserve">
1.05 - Water Cp (kcal/kg/°C)
120 - BFW Feed temperature (°C)</t>
        </r>
      </text>
    </comment>
  </commentList>
</comments>
</file>

<file path=xl/sharedStrings.xml><?xml version="1.0" encoding="utf-8"?>
<sst xmlns="http://schemas.openxmlformats.org/spreadsheetml/2006/main" count="1057" uniqueCount="274">
  <si>
    <t>EOEG Overall Norms Particulars</t>
  </si>
  <si>
    <t>Cost Category</t>
  </si>
  <si>
    <t>Standard Code</t>
  </si>
  <si>
    <t>Code as per MIIS / Contribution Report</t>
  </si>
  <si>
    <t>Column3</t>
  </si>
  <si>
    <t>JMDC2</t>
  </si>
  <si>
    <t>JMDC3</t>
  </si>
  <si>
    <t>DMD</t>
  </si>
  <si>
    <t>Column1</t>
  </si>
  <si>
    <t>HMD1</t>
  </si>
  <si>
    <t>HMD12</t>
  </si>
  <si>
    <t>HMD2</t>
  </si>
  <si>
    <t>HMD22</t>
  </si>
  <si>
    <t>HMD3</t>
  </si>
  <si>
    <t>HMD4</t>
  </si>
  <si>
    <t>NMD</t>
  </si>
  <si>
    <t>Column2</t>
  </si>
  <si>
    <t>VMD</t>
  </si>
  <si>
    <t>Plants</t>
  </si>
  <si>
    <t>Production</t>
  </si>
  <si>
    <t>EOE</t>
  </si>
  <si>
    <t>ETHYLENE OXIDE EQUIVALENT</t>
  </si>
  <si>
    <t>Operating Hrs</t>
  </si>
  <si>
    <t>Product</t>
  </si>
  <si>
    <t>PEO</t>
  </si>
  <si>
    <t>ETHYLENE OXIDE</t>
  </si>
  <si>
    <t>MEG</t>
  </si>
  <si>
    <t>MONO ETHYLENE GLYCOL</t>
  </si>
  <si>
    <t>By Product</t>
  </si>
  <si>
    <t>DEG</t>
  </si>
  <si>
    <t>DI ETHYLENE GLYCOL</t>
  </si>
  <si>
    <t>TEG</t>
  </si>
  <si>
    <t>TRI ETHYLENEGLYCOL B</t>
  </si>
  <si>
    <t>PEG</t>
  </si>
  <si>
    <t>Glycol Residue WIP</t>
  </si>
  <si>
    <t>TEG-BOTTOM</t>
  </si>
  <si>
    <t>POLY ETHYLENE GLYCOL</t>
  </si>
  <si>
    <t>GR-1</t>
  </si>
  <si>
    <t>GLYCOL RESIDUE I</t>
  </si>
  <si>
    <t>GR-2</t>
  </si>
  <si>
    <t>GLYCOL RESIDUE II</t>
  </si>
  <si>
    <t>CO2</t>
  </si>
  <si>
    <t>Carbon Dioxide</t>
  </si>
  <si>
    <t>PVG</t>
  </si>
  <si>
    <t>MIXED PETROLEUM GAS</t>
  </si>
  <si>
    <t>Process Vent Gas</t>
  </si>
  <si>
    <t>Raw Material</t>
  </si>
  <si>
    <t>Ethylene</t>
  </si>
  <si>
    <t>ETHYLENE</t>
  </si>
  <si>
    <t>Oxygen</t>
  </si>
  <si>
    <t>OXYGEN</t>
  </si>
  <si>
    <t>OXYGEN - NP01</t>
  </si>
  <si>
    <t>Utilities</t>
  </si>
  <si>
    <t>HHP Steam</t>
  </si>
  <si>
    <t>SHP STEAM_DIS</t>
  </si>
  <si>
    <t>HP Steam</t>
  </si>
  <si>
    <t>HP STEAM_DIS</t>
  </si>
  <si>
    <t>MP Steam</t>
  </si>
  <si>
    <t>MP STEAM_DIS</t>
  </si>
  <si>
    <t>LP Steam</t>
  </si>
  <si>
    <t>LP STEAM_DIS</t>
  </si>
  <si>
    <t>BFW</t>
  </si>
  <si>
    <t>BOILER FEED WATER</t>
  </si>
  <si>
    <t>Cond. Ret.</t>
  </si>
  <si>
    <t>RET STEAM CONDENSATE</t>
  </si>
  <si>
    <t>Power</t>
  </si>
  <si>
    <t>POWER_DIS</t>
  </si>
  <si>
    <t>Cooling Water - 1</t>
  </si>
  <si>
    <t>Cooling Water</t>
  </si>
  <si>
    <t>COOLING WATER D4</t>
  </si>
  <si>
    <t>COOLING WATER_DIS</t>
  </si>
  <si>
    <t>COOLING WATER 2</t>
  </si>
  <si>
    <t>N2O2 COOLING WATER</t>
  </si>
  <si>
    <t>Cooling Water - 2</t>
  </si>
  <si>
    <t>COOLING WATER D5</t>
  </si>
  <si>
    <t>Methane</t>
  </si>
  <si>
    <t>Methane Ballast</t>
  </si>
  <si>
    <t>METHANE</t>
  </si>
  <si>
    <t>DM Water</t>
  </si>
  <si>
    <t>D M WATER</t>
  </si>
  <si>
    <t>Effluent</t>
  </si>
  <si>
    <t>EFFLUENT TREATED</t>
  </si>
  <si>
    <t>HP Nitrogen</t>
  </si>
  <si>
    <t>HP NITROGEN</t>
  </si>
  <si>
    <t>Nitrogen</t>
  </si>
  <si>
    <t>NITROGEN_ASU</t>
  </si>
  <si>
    <t>Nitrogen Gas</t>
  </si>
  <si>
    <t>LP NITROGEN</t>
  </si>
  <si>
    <t>Gaseous Nitrogen</t>
  </si>
  <si>
    <t>Instrument Air</t>
  </si>
  <si>
    <t>COMPRESSED AIR</t>
  </si>
  <si>
    <t>INSTRUMENT AIR</t>
  </si>
  <si>
    <t>IOP COMPRESSED AIR</t>
  </si>
  <si>
    <t>Ethane</t>
  </si>
  <si>
    <t>AMBIENT ETHANE</t>
  </si>
  <si>
    <t>Natural Gas</t>
  </si>
  <si>
    <t>NATURAL GAS</t>
  </si>
  <si>
    <t>Plant Air</t>
  </si>
  <si>
    <t>PLANT AIR</t>
  </si>
  <si>
    <t>Service Water</t>
  </si>
  <si>
    <t>UTILITY WATER</t>
  </si>
  <si>
    <t>SERVICE WATER</t>
  </si>
  <si>
    <t>Water</t>
  </si>
  <si>
    <t>RAW WATER</t>
  </si>
  <si>
    <t>CatChem</t>
  </si>
  <si>
    <t>Caustic</t>
  </si>
  <si>
    <t>CHEM SODIUM HYDROXIDE (CAUSTIC)</t>
  </si>
  <si>
    <t>CAUSTIC SODA LYE – GRADE 1</t>
  </si>
  <si>
    <t>EDC</t>
  </si>
  <si>
    <t>Ethylene Di Chloride</t>
  </si>
  <si>
    <t>CHEM DICHLORIDE ETHYLENE 99.7% (C2H4CL2)</t>
  </si>
  <si>
    <t>ETHYLENE DI CHLORIDE (99.7%)</t>
  </si>
  <si>
    <t>Carbonate</t>
  </si>
  <si>
    <t>CHEM POTASSIUM CARBONATE 99.5 WT%</t>
  </si>
  <si>
    <t>CHEM POTASSIUM CARBONATE</t>
  </si>
  <si>
    <t>POTASSIUM CARBONATE TECH.GRD-.02% CL</t>
  </si>
  <si>
    <t>CATACARB</t>
  </si>
  <si>
    <t>CHEM CATACARB-922</t>
  </si>
  <si>
    <t>Boric Acid</t>
  </si>
  <si>
    <t>CHEM BORICACID</t>
  </si>
  <si>
    <t>V2O5</t>
  </si>
  <si>
    <t>CHEM VANADIUM PENTOXIDE</t>
  </si>
  <si>
    <t>NBS</t>
  </si>
  <si>
    <t>CHEM SODIUM BISULPHITE</t>
  </si>
  <si>
    <t>Activated Carbon</t>
  </si>
  <si>
    <t>CHEM CAT ACTIVATED CARBON</t>
  </si>
  <si>
    <t>PLURONIC</t>
  </si>
  <si>
    <t>CHEM PLURONIC PE 10100</t>
  </si>
  <si>
    <t>UCON</t>
  </si>
  <si>
    <t>ANTIFOAM UCON-50HB 5100</t>
  </si>
  <si>
    <t>Oleyl Alcohol</t>
  </si>
  <si>
    <t>CHEM OLEYL ALCOHOL</t>
  </si>
  <si>
    <t>SAG 10</t>
  </si>
  <si>
    <t>CHEM SAG 10 FOAM CONTROL AGENT</t>
  </si>
  <si>
    <t>TSP</t>
  </si>
  <si>
    <t>CHEM TRISODIUM PHOSPHATE</t>
  </si>
  <si>
    <t>HCl</t>
  </si>
  <si>
    <t>HYDRO CHLORIC ACID (25%)</t>
  </si>
  <si>
    <t>HYDRO CHLORIC ACID (30%) -VIRGIN</t>
  </si>
  <si>
    <t>Morpholene</t>
  </si>
  <si>
    <t>CHEM MORPHOLENE 60%+40% MCHA</t>
  </si>
  <si>
    <t>CHEM MORPHOLENE</t>
  </si>
  <si>
    <t>Carbohydrazide</t>
  </si>
  <si>
    <t>CARBOHYDRAZIDE OXYGEN SCAVENGER</t>
  </si>
  <si>
    <t>WATREAT</t>
  </si>
  <si>
    <t>KEM WATREAT B 70M</t>
  </si>
  <si>
    <t>WATREAT - 5780</t>
  </si>
  <si>
    <t>KEM WATREAT B 5780</t>
  </si>
  <si>
    <t>MAXTREAT</t>
  </si>
  <si>
    <t>CHEM MAXTREAT 3223 SJ</t>
  </si>
  <si>
    <t>NALCO</t>
  </si>
  <si>
    <t>CHEM CORROSION INHIBITOR NALCO 8338</t>
  </si>
  <si>
    <t>BLR</t>
  </si>
  <si>
    <t>CHEM BLR 7M</t>
  </si>
  <si>
    <t>ELOGUARD</t>
  </si>
  <si>
    <t>CHEM ELOGUARD86</t>
  </si>
  <si>
    <t>VASUCOR</t>
  </si>
  <si>
    <t>CORROSION INHIBITOR VASUCOR-NM612</t>
  </si>
  <si>
    <t>EOEG Overall Norms Setting comparisons - Current</t>
  </si>
  <si>
    <t>JMDC2 - UoM</t>
  </si>
  <si>
    <t>JMDC2 - Norms</t>
  </si>
  <si>
    <t>DMD - UoM</t>
  </si>
  <si>
    <t>DMD - Norms</t>
  </si>
  <si>
    <t>HMD1 - UoM</t>
  </si>
  <si>
    <t>HMD1 - Norms</t>
  </si>
  <si>
    <t>HMD2 - UoM</t>
  </si>
  <si>
    <t>HMD2 - Norms</t>
  </si>
  <si>
    <t>HMD3 - UoM</t>
  </si>
  <si>
    <t>HMD3 - Norms</t>
  </si>
  <si>
    <t>NMD - UoM</t>
  </si>
  <si>
    <t>NMD - Norms</t>
  </si>
  <si>
    <t>VMD - UoM</t>
  </si>
  <si>
    <t>VMD - Norms</t>
  </si>
  <si>
    <t>Legend</t>
  </si>
  <si>
    <t>TPM</t>
  </si>
  <si>
    <t>as per Production setting philosophy</t>
  </si>
  <si>
    <t>[ XXX ]</t>
  </si>
  <si>
    <t>Term Within Norms Table</t>
  </si>
  <si>
    <t>Op hrs</t>
  </si>
  <si>
    <t>Steady state Operating Hours per month</t>
  </si>
  <si>
    <t>hrs</t>
  </si>
  <si>
    <t>as per Shutdown Slowdown Planning</t>
  </si>
  <si>
    <t>EO</t>
  </si>
  <si>
    <t>{ XXX }</t>
  </si>
  <si>
    <t>Calculation from "Other Calculations / Inputs" Table</t>
  </si>
  <si>
    <t>{MEG Yield}*[EOE]</t>
  </si>
  <si>
    <t>{MEG Yield}*([EOE]-[EO])</t>
  </si>
  <si>
    <t>XXX</t>
  </si>
  <si>
    <t>Comment / Remark</t>
  </si>
  <si>
    <t>MT / MT EOE</t>
  </si>
  <si>
    <t>0.1022*[EOE]</t>
  </si>
  <si>
    <t>0.101*[MEG]/[EOE]</t>
  </si>
  <si>
    <t>0.1141*[MEG]/[EOE]</t>
  </si>
  <si>
    <t>0.0033*[MEG]/[EOE]</t>
  </si>
  <si>
    <t>0.00629*[MEG]/[EOE]</t>
  </si>
  <si>
    <t>HISTORIAN - As per AVERAGE achieved norms at resp. throughput</t>
  </si>
  <si>
    <t>0.0030*[MEG]/[EOE]</t>
  </si>
  <si>
    <t>0.08*[MEG]/[EOE]</t>
  </si>
  <si>
    <t>(3%)*(105.5/2/44.05)*([EOE]-[EO])/[EOE]</t>
  </si>
  <si>
    <t>NM3 / MT EOE</t>
  </si>
  <si>
    <t>BUSINESS DEMAND</t>
  </si>
  <si>
    <r>
      <t xml:space="preserve">Min of
1. BUSINESS DEMAND, 
2. </t>
    </r>
    <r>
      <rPr>
        <sz val="10"/>
        <color theme="1"/>
        <rFont val="Arial Nova"/>
        <family val="2"/>
      </rPr>
      <t>{CO2 Production}</t>
    </r>
    <r>
      <rPr>
        <i/>
        <sz val="10"/>
        <color theme="1"/>
        <rFont val="Arial Nova"/>
        <family val="2"/>
      </rPr>
      <t xml:space="preserve"> - based on Selectivity</t>
    </r>
  </si>
  <si>
    <t>HISTORIAN - As per PREVIOUS YEAR achieved norms at resp. throughput</t>
  </si>
  <si>
    <t>[METHANE]/16/0.54*22.4*0.9</t>
  </si>
  <si>
    <t>(28.05/44.05*100/{selectivity}/0.9995)+([METHANE]*28.05*0.32/16/0.525))/0.9995)</t>
  </si>
  <si>
    <t>(28.05/44.05*100/{selectivity}/0.9995)+([METHANE]*28.05*0.28/16/0.54))/0.9995)+((1.9/24)/([EOE]/[Op hrs]))</t>
  </si>
  <si>
    <t>(((1.001*28*100/44/{selectivity})+([METHANE]*28*0.28/16/0.54))/0.999)+(0.135/24/([EOE]/[Op hrs]))</t>
  </si>
  <si>
    <t>28.05/44.05*100/{selectivity}*1.018/0.997</t>
  </si>
  <si>
    <t>(28.05/44.05*100/{selectivity}*1.02/0.998)+(30/21.5*35*28.05/100/([EOE]/[Op hrs]))+({CO2 Production}*0.003/[EOE])+(5/([EOE]/[Op hrs]))</t>
  </si>
  <si>
    <t>((100*2.1818/{selectivity}-1.818)+([METHANE]*32*0.065/16/0.525))/0.998</t>
  </si>
  <si>
    <t>(32/44.05*(3/{selectivity}*100-2.5)/0.996)+([METHANE]*32*0.052/16/0.54))/0.996)</t>
  </si>
  <si>
    <t>32/44.05*(120-{selectivity})/{selectivity}/40*1.008/0.997</t>
  </si>
  <si>
    <t>(32/44.05*(3/{selectivity}*100-2.5)/0.998)+(30/21.5*5.8*32/100/([EOE]/[Op hrs]))+(4.3/([EOE]/[Op hrs]))</t>
  </si>
  <si>
    <t>(1.001*(100*2.1818/{selectivity}-1.818)+([METHANE]*32*0.05/16/0.54))/0.997</t>
  </si>
  <si>
    <t>{Total HHP Consumption}/([EOE]/[Op hrs])</t>
  </si>
  <si>
    <t>* CONDITION: ({Total HP Steam Consumption}-{HP Steam Generation}),
* IF (CONDITION &gt; 0): ((Value as per condition)/([EOE]/[Op hrs]))
* IF (CONDITION &lt; 0): 0</t>
  </si>
  <si>
    <t>{Total HP Consumption}/([EOE]/[Op hrs])</t>
  </si>
  <si>
    <t>({Total HP Steam Consumption}-{HP Steam Generation})/([EOE]/[Op hrs]))</t>
  </si>
  <si>
    <t>{Total MP Consumption}/([EOE]/[Op hrs])</t>
  </si>
  <si>
    <t>* CONDITION: ({Total MP Steam Consumption}-{MP Steam Generation}-{Excess HP}),
* IF (CONDITION &gt; 0): ((Value as per condition)/([EOE]/[Op hrs]))
* IF (CONDITION &lt; 0): 0</t>
  </si>
  <si>
    <t>({Total MP Steam consumption} - {MP Steam Generation})/([EOE]/[Op hrs])</t>
  </si>
  <si>
    <t>{Total MP Steam consumption}/([EOE]/[Op hrs])</t>
  </si>
  <si>
    <t>({Total LP Steam consumption} - {Excess MP})/([EOE]/[Op hrs])</t>
  </si>
  <si>
    <t>M3 / MT EOE</t>
  </si>
  <si>
    <t>({HP Steam Generation}+0.9+0.9)/([EOE]/[Op hrs])</t>
  </si>
  <si>
    <t>([HPP Steam]+[MP Steam]+[DM Water]-[Effluent])-((40+19)/([EOE]/[Op hrs]))</t>
  </si>
  <si>
    <t>([HP Steam]+[MP Steam]+[LP Steam])*-0.51</t>
  </si>
  <si>
    <t>kWh / MT EOE</t>
  </si>
  <si>
    <t>kM3 / MT EOE</t>
  </si>
  <si>
    <t>GBT / MT EOE</t>
  </si>
  <si>
    <t>kg / MT EOE</t>
  </si>
  <si>
    <t>MANUAL ENTRY</t>
  </si>
  <si>
    <t>Other Calculations / Inputs</t>
  </si>
  <si>
    <t>Selectivity, %</t>
  </si>
  <si>
    <t>MANUAL ENTRY (Monthwise)</t>
  </si>
  <si>
    <r>
      <t xml:space="preserve">TST, </t>
    </r>
    <r>
      <rPr>
        <b/>
        <sz val="10"/>
        <color theme="0"/>
        <rFont val="Aptos Narrow"/>
        <family val="2"/>
      </rPr>
      <t>°</t>
    </r>
    <r>
      <rPr>
        <b/>
        <sz val="10"/>
        <color theme="0"/>
        <rFont val="Arial Nova"/>
        <family val="2"/>
      </rPr>
      <t>C</t>
    </r>
  </si>
  <si>
    <t>MEG Yield</t>
  </si>
  <si>
    <t>CO2 Production, TPH</t>
  </si>
  <si>
    <t>[EOE]/44.05*2*44.01*((100-{selectivity})/{selectivity})</t>
  </si>
  <si>
    <t>Total HHP Steam Consumption, TPH</t>
  </si>
  <si>
    <t>Total HP Steam Consumption, TPH</t>
  </si>
  <si>
    <t>Total MP Steam Consumption, TPH</t>
  </si>
  <si>
    <t>Total LP Steam Consumption, TPH</t>
  </si>
  <si>
    <t>Reaction Heat, kcal/h</t>
  </si>
  <si>
    <t>(([EOE]/[Op hrs])*1000/44.05)*(25.063+(315.923*((100-{selectivity})/{selectivity})))*1000</t>
  </si>
  <si>
    <t>(([EOE]/[Op hrs])*1000/44.05)*(25.550+(316.2*((100-{selectivity})/{selectivity})))*1000</t>
  </si>
  <si>
    <t>(([EOE]/[Op hrs])*1000/44.05)*(25.53+(316.6*((100-{selectivity})/{selectivity})))*1000</t>
  </si>
  <si>
    <t>(([EOE]/[Op hrs])*1000/44.05)*(24.917+(314.762*((100-{selectivity})/{selectivity})))*1000</t>
  </si>
  <si>
    <t>Heat to HP Steam, kcal/h</t>
  </si>
  <si>
    <t>{Reaction Heat} - ((450+([Oxygen]*[EOE]/[Op hrs]))*1000*0.51*({TST}+5-180))</t>
  </si>
  <si>
    <t>{Reaction Heat} - (320000*0.51*({TST}+6-165)}</t>
  </si>
  <si>
    <t>{Reaction Heat} - (65000*0.51*42)</t>
  </si>
  <si>
    <t>HP Latent Heat, kcal/kg</t>
  </si>
  <si>
    <t>Latent heat of steam at TST temperature (kcal/kg)</t>
  </si>
  <si>
    <t>HP Steam Generation, TPH</t>
  </si>
  <si>
    <t>({Heat to HP Steam}-1.5*1.05*({TST}-170))/({HP Latent Heat}+1.05*({TST}-170))/1000</t>
  </si>
  <si>
    <t>({Heat to HP Steam}-1.5*1.05*({TST}-190))/({HP Latent Heat}+1.05*({TST}-190))/1000</t>
  </si>
  <si>
    <t>{Heat to MP Steam}/(508+1.05*(216-158))/1000</t>
  </si>
  <si>
    <t>Excess HP, TPH</t>
  </si>
  <si>
    <t>* CONDITION: ({HP Steam Generation}-{Total HP Steam Consumption}),
* IF (CONDITION &gt; 0): Value as per condition
* IF (CONDITION &lt; 0): 0</t>
  </si>
  <si>
    <t>Heat to MP Steam, kcal/h</t>
  </si>
  <si>
    <t>{Reaction Heat} - (1950000*0.5115*(0.1315*{TST}-15))</t>
  </si>
  <si>
    <t>(450+([Oxygen]*[EOE]/[Op hrs]))*1000*0.51*({TST}+5-221)</t>
  </si>
  <si>
    <t>320000*0.53*({TST}+6-204)</t>
  </si>
  <si>
    <t>{Reaction Heat} - (210000*0.5131*35)</t>
  </si>
  <si>
    <t>MP Latent Heat, kcal/kg</t>
  </si>
  <si>
    <t>MP Steam Generation, TPH</t>
  </si>
  <si>
    <t>{HP Sparging} + ({Heat to MP Steam}-10*1.14*({TST}-180))/({MP Latent Heat}+(1.05*({TST}-180)))/1000</t>
  </si>
  <si>
    <t>{Heat to MP Steam}/(448.1+(1.05*(194-170)))/1000</t>
  </si>
  <si>
    <t>({Heat to MP Steam}+({Total HP Consumption}*1.05*(219-200)))/463.1/1000</t>
  </si>
  <si>
    <t>{Heat to MP Steam}/({MP Latent Heat}+1.05*({TST}-120))/1000</t>
  </si>
  <si>
    <t>Excess MP, TPH</t>
  </si>
  <si>
    <t>* CONDITION: ({MP Steam Generation}+{Excess HP}-{Total MP Steam Consumption}),
* IF (CONDITION &gt; 0): Value as per condition
* IF (CONDITION &lt; 0): 0</t>
  </si>
  <si>
    <t>HP Sparging, TPH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</si>
</sst>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theme="1"/>
      <name val="Arial Nova"/>
      <family val="2"/>
    </font>
    <font>
      <b/>
      <sz val="10"/>
      <color rgb="FFFF0000"/>
      <name val="Arial Nova"/>
      <family val="2"/>
    </font>
    <font>
      <b/>
      <sz val="10"/>
      <color theme="0"/>
      <name val="Arial Nova"/>
      <family val="2"/>
    </font>
    <font>
      <i/>
      <sz val="10"/>
      <color theme="1"/>
      <name val="Arial Nova"/>
      <family val="2"/>
    </font>
    <font>
      <b/>
      <sz val="10"/>
      <color theme="0"/>
      <name val="Aptos Narrow"/>
      <family val="2"/>
    </font>
    <font>
      <b/>
      <u/>
      <sz val="10"/>
      <color theme="1"/>
      <name val="Arial Nova"/>
      <family val="2"/>
    </font>
    <font>
      <sz val="8"/>
      <name val="Arial Nova"/>
      <family val="2"/>
    </font>
    <font>
      <sz val="10"/>
      <color theme="0" tint="-0.499984740745262"/>
      <name val="Arial Nov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 tint="-0.24994659260841701"/>
      </right>
      <top style="medium">
        <color theme="1"/>
      </top>
      <bottom style="double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/>
      </top>
      <bottom style="double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1"/>
      </top>
      <bottom style="double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24994659260841701"/>
      </right>
      <top style="double">
        <color theme="1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top" textRotation="180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8" xfId="0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3" fillId="0" borderId="12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2" borderId="6" xfId="0" applyFont="1" applyFill="1" applyBorder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1" fillId="0" borderId="0" xfId="0" applyFont="1" applyAlignment="1">
      <alignment horizontal="center" vertical="top" textRotation="180"/>
    </xf>
    <xf numFmtId="0" fontId="0" fillId="0" borderId="8" xfId="0" applyBorder="1" applyAlignment="1">
      <alignment horizontal="left" vertical="center" indent="1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54"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3999450666829432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0" tint="-0.499984740745262"/>
        <name val="Arial Nov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0" tint="-0.499984740745262"/>
        <name val="Arial Nov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0" tint="-0.499984740745262"/>
        <name val="Arial Nov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0" tint="-0.499984740745262"/>
        <name val="Arial Nov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0" tint="-0.499984740745262"/>
        <name val="Arial Nov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0" tint="-0.499984740745262"/>
        <name val="Arial Nova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theme="0" tint="-0.499984740745262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0" tint="-0.499984740745262"/>
        <name val="Arial Nova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theme="0" tint="-0.49998474074526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6795556505021"/>
          <bgColor theme="0" tint="-4.9989318521683403E-2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double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1" defaultTableStyle="TableStyleMedium2" defaultPivotStyle="PivotStyleLight16">
    <tableStyle name="Custom-1" pivot="0" count="7" xr9:uid="{E4C8B356-06CF-4622-850A-3EA6ED886022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firstRowStripe" dxfId="48"/>
      <tableStyleElement type="firstColumn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17D5C-3AE8-442A-9583-BFA949A8E171}" name="Table13" displayName="Table13" ref="B2:S81" totalsRowShown="0" headerRowDxfId="46" dataDxfId="45">
  <autoFilter ref="B2:S81" xr:uid="{35F7DF55-40F6-479F-83E4-1610FE4051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13759EB-B475-40B8-B9A2-B1FBB312D914}" name="Cost Category" dataDxfId="44"/>
    <tableColumn id="2" xr3:uid="{F64AD392-7BF4-494D-B938-205309FAB5AD}" name="Standard Code" dataDxfId="43"/>
    <tableColumn id="3" xr3:uid="{611F4C1B-3A3F-4517-B85F-688C9D3C0D4B}" name="Code as per MIIS / Contribution Report" dataDxfId="42"/>
    <tableColumn id="19" xr3:uid="{B608ECA0-79C3-4F4C-9792-F3FE4913AE66}" name="Column3" dataDxfId="41"/>
    <tableColumn id="4" xr3:uid="{504E8910-FF7A-49C5-BFB7-82E227B5E458}" name="JMDC2" dataDxfId="40"/>
    <tableColumn id="12" xr3:uid="{AD3E32DB-DC6D-46C5-A78E-3B8B77193A10}" name="JMDC3" dataDxfId="39"/>
    <tableColumn id="5" xr3:uid="{697F0D26-28A8-42B9-A7B6-888AB67A88D3}" name="DMD" dataDxfId="38"/>
    <tableColumn id="13" xr3:uid="{3E59BD27-8762-4836-954C-8133AC6C291A}" name="Column1" dataDxfId="37"/>
    <tableColumn id="6" xr3:uid="{9D520896-1B17-403B-9613-FB9D75226835}" name="HMD1" dataDxfId="36"/>
    <tableColumn id="14" xr3:uid="{61932944-1DEF-43AC-92E6-26621DCD9659}" name="HMD12" dataDxfId="35"/>
    <tableColumn id="7" xr3:uid="{C80696C4-C5B8-45CF-9DB7-9204014D2AC7}" name="HMD2" dataDxfId="34"/>
    <tableColumn id="15" xr3:uid="{C0B41E0D-09A3-4820-A18E-054C6CE26CA7}" name="HMD22" dataDxfId="33"/>
    <tableColumn id="8" xr3:uid="{06EBBB37-3E39-49A3-B09F-BFCB5F412A66}" name="HMD3" dataDxfId="32"/>
    <tableColumn id="16" xr3:uid="{4C3188B3-4117-4364-B2C3-31E5425927C8}" name="HMD4" dataDxfId="31"/>
    <tableColumn id="9" xr3:uid="{D9420D10-0A3A-4AC3-8BAD-D67931B7B3E6}" name="NMD" dataDxfId="30"/>
    <tableColumn id="17" xr3:uid="{A954E9B5-0777-4762-A092-3AD5F882476E}" name="Column2" dataDxfId="29"/>
    <tableColumn id="10" xr3:uid="{522EF6FC-1CF6-4208-8FD3-0E5DDE1FAAE2}" name="VMD" dataDxfId="28"/>
    <tableColumn id="11" xr3:uid="{85E7F7E7-A879-4FDA-B796-C4DA36F0611C}" name="Plants" dataDxfId="27">
      <calculatedColumnFormula>SUM(Identifier!$F3:$R3)</calculatedColumnFormula>
    </tableColumn>
  </tableColumns>
  <tableStyleInfo name="Custom-1" showFirstColumn="1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A3107F-D280-46E8-AF92-A277EBAB162A}" name="Table14" displayName="Table14" ref="B2:R81" totalsRowShown="0" headerRowDxfId="26" dataDxfId="25">
  <tableColumns count="17">
    <tableColumn id="1" xr3:uid="{433082FE-5953-4765-AEF2-6EFCDCEA2D6D}" name="Cost Category" dataDxfId="24"/>
    <tableColumn id="2" xr3:uid="{2C16618D-F631-49E0-BE3F-D68C1C8D3A1A}" name="Standard Code" dataDxfId="23"/>
    <tableColumn id="3" xr3:uid="{AD319DAE-1DBF-44B2-8956-A05D3ABA6A0C}" name="Code as per MIIS / Contribution Report" dataDxfId="22"/>
    <tableColumn id="15" xr3:uid="{2C2C7E1A-0C92-4748-A582-507BE921B02C}" name="JMDC2 - UoM" dataDxfId="21"/>
    <tableColumn id="4" xr3:uid="{7D200396-AE9E-40C8-A974-EABF2D14AD45}" name="JMDC2 - Norms" dataDxfId="20"/>
    <tableColumn id="16" xr3:uid="{6DB79F1D-A420-4C00-A61F-37417946B3CA}" name="DMD - UoM" dataDxfId="19"/>
    <tableColumn id="5" xr3:uid="{950E8581-C405-4483-A575-5C6B8A337234}" name="DMD - Norms" dataDxfId="18"/>
    <tableColumn id="17" xr3:uid="{5A087BBF-769D-454E-80DA-4F4BAE802811}" name="HMD1 - UoM" dataDxfId="17"/>
    <tableColumn id="6" xr3:uid="{04107E07-CFE7-4EF8-8703-030828C8086A}" name="HMD1 - Norms" dataDxfId="16"/>
    <tableColumn id="18" xr3:uid="{E9436EE8-4EBD-4A01-9486-73B7B62F06A1}" name="HMD2 - UoM" dataDxfId="15"/>
    <tableColumn id="7" xr3:uid="{7DDA8499-2DFE-4A33-A5A8-FD55C37586FA}" name="HMD2 - Norms" dataDxfId="14"/>
    <tableColumn id="19" xr3:uid="{002D8F45-245F-4CBE-B005-5EE80577DB3B}" name="HMD3 - UoM" dataDxfId="13"/>
    <tableColumn id="8" xr3:uid="{2106AE76-30BF-4C4A-AF24-813A1ED5F8F9}" name="HMD3 - Norms" dataDxfId="12"/>
    <tableColumn id="20" xr3:uid="{22A3EA41-39FD-47E4-9181-5220A6FDA2AF}" name="NMD - UoM" dataDxfId="11"/>
    <tableColumn id="9" xr3:uid="{4B6583D9-32B5-4160-BFCB-278CC692D3A8}" name="NMD - Norms" dataDxfId="10"/>
    <tableColumn id="21" xr3:uid="{57468F65-006F-4B60-BE51-2A15276CF066}" name="VMD - UoM" dataDxfId="9"/>
    <tableColumn id="10" xr3:uid="{E63482DC-67F4-43C6-8D19-C0D41BD2DF04}" name="VMD - Norms" dataDxfId="8"/>
  </tableColumns>
  <tableStyleInfo name="Custom-1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CDED-B22F-4AFD-A0F4-1BD509640FDF}">
  <sheetPr>
    <outlinePr summaryBelow="0" summaryRight="0"/>
  </sheetPr>
  <dimension ref="A1:AF171"/>
  <sheetViews>
    <sheetView showGridLines="0" zoomScale="70" zoomScaleNormal="70" workbookViewId="0">
      <selection activeCell="F3" sqref="F3:R3"/>
    </sheetView>
  </sheetViews>
  <sheetFormatPr defaultColWidth="9.21875" defaultRowHeight="15" customHeight="1" x14ac:dyDescent="0.25"/>
  <cols>
    <col min="1" max="1" width="5.77734375" style="5" customWidth="1"/>
    <col min="2" max="2" width="18.5546875" style="2" customWidth="1"/>
    <col min="3" max="3" width="18.77734375" style="2" customWidth="1"/>
    <col min="4" max="4" width="45" style="2" customWidth="1"/>
    <col min="5" max="7" width="9.5546875" style="2" customWidth="1"/>
    <col min="8" max="9" width="7.5546875" style="2" customWidth="1"/>
    <col min="10" max="15" width="8.5546875" style="2" customWidth="1"/>
    <col min="16" max="17" width="7.5546875" style="2" customWidth="1"/>
    <col min="18" max="18" width="7.44140625" style="2" customWidth="1"/>
    <col min="19" max="19" width="10.21875" style="2" customWidth="1"/>
    <col min="20" max="20" width="2.77734375" customWidth="1"/>
    <col min="21" max="32" width="8.77734375" customWidth="1"/>
    <col min="33" max="16384" width="9.21875" style="2"/>
  </cols>
  <sheetData>
    <row r="1" spans="1:19" ht="15" customHeight="1" x14ac:dyDescent="0.25">
      <c r="A1" s="1">
        <v>0</v>
      </c>
    </row>
    <row r="2" spans="1:19" ht="22.5" customHeight="1" x14ac:dyDescent="0.25">
      <c r="A2" s="39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</row>
    <row r="3" spans="1:19" ht="22.5" customHeight="1" x14ac:dyDescent="0.25">
      <c r="A3" s="39"/>
      <c r="B3" s="3" t="s">
        <v>19</v>
      </c>
      <c r="C3" s="2" t="s">
        <v>20</v>
      </c>
      <c r="D3" s="2" t="s">
        <v>21</v>
      </c>
      <c r="E3" s="5"/>
      <c r="F3" s="5">
        <v>1</v>
      </c>
      <c r="G3" s="5"/>
      <c r="H3" s="5">
        <v>1</v>
      </c>
      <c r="I3" s="5"/>
      <c r="J3" s="5">
        <v>1</v>
      </c>
      <c r="K3" s="5"/>
      <c r="L3" s="5">
        <v>1</v>
      </c>
      <c r="M3" s="5"/>
      <c r="N3" s="5">
        <v>1</v>
      </c>
      <c r="O3" s="5"/>
      <c r="P3" s="5">
        <v>1</v>
      </c>
      <c r="Q3" s="5"/>
      <c r="R3" s="5">
        <v>1</v>
      </c>
      <c r="S3" s="4">
        <f>SUM(Identifier!$F3:$R3)</f>
        <v>7</v>
      </c>
    </row>
    <row r="4" spans="1:19" ht="13.2" x14ac:dyDescent="0.25">
      <c r="A4" s="39"/>
      <c r="B4" s="3"/>
      <c r="C4" s="2" t="s">
        <v>22</v>
      </c>
      <c r="E4" s="5"/>
      <c r="F4" s="5">
        <v>1</v>
      </c>
      <c r="G4" s="5"/>
      <c r="H4" s="5">
        <v>1</v>
      </c>
      <c r="I4" s="5"/>
      <c r="J4" s="5">
        <v>1</v>
      </c>
      <c r="K4" s="5"/>
      <c r="L4" s="5">
        <v>1</v>
      </c>
      <c r="M4" s="5"/>
      <c r="N4" s="5">
        <v>1</v>
      </c>
      <c r="O4" s="5"/>
      <c r="P4" s="5">
        <v>1</v>
      </c>
      <c r="Q4" s="5"/>
      <c r="R4" s="5">
        <v>1</v>
      </c>
      <c r="S4" s="4">
        <f>SUM(Identifier!$F4:$R4)</f>
        <v>7</v>
      </c>
    </row>
    <row r="5" spans="1:19" ht="13.2" x14ac:dyDescent="0.25">
      <c r="A5" s="39"/>
      <c r="B5" s="3" t="s">
        <v>23</v>
      </c>
      <c r="C5" s="2" t="s">
        <v>24</v>
      </c>
      <c r="D5" s="2" t="s">
        <v>25</v>
      </c>
      <c r="E5" s="5"/>
      <c r="F5" s="5">
        <v>0</v>
      </c>
      <c r="G5" s="5"/>
      <c r="H5" s="5">
        <v>1</v>
      </c>
      <c r="I5" s="5"/>
      <c r="J5" s="5">
        <v>1</v>
      </c>
      <c r="K5" s="5"/>
      <c r="L5" s="5">
        <v>1</v>
      </c>
      <c r="M5" s="5"/>
      <c r="N5" s="5">
        <v>1</v>
      </c>
      <c r="O5" s="5"/>
      <c r="P5" s="5">
        <v>1</v>
      </c>
      <c r="Q5" s="5"/>
      <c r="R5" s="5">
        <v>1</v>
      </c>
      <c r="S5" s="4">
        <f>SUM(Identifier!$F5:$R5)</f>
        <v>6</v>
      </c>
    </row>
    <row r="6" spans="1:19" ht="13.5" customHeight="1" x14ac:dyDescent="0.25">
      <c r="A6" s="39"/>
      <c r="B6" s="3" t="s">
        <v>23</v>
      </c>
      <c r="C6" s="2" t="s">
        <v>26</v>
      </c>
      <c r="D6" s="2" t="s">
        <v>27</v>
      </c>
      <c r="E6" s="5"/>
      <c r="F6" s="5">
        <v>1</v>
      </c>
      <c r="G6" s="5"/>
      <c r="H6" s="5">
        <v>1</v>
      </c>
      <c r="I6" s="5"/>
      <c r="J6" s="5">
        <v>1</v>
      </c>
      <c r="K6" s="5"/>
      <c r="L6" s="5">
        <v>1</v>
      </c>
      <c r="M6" s="5"/>
      <c r="N6" s="5">
        <v>1</v>
      </c>
      <c r="O6" s="5"/>
      <c r="P6" s="5">
        <v>1</v>
      </c>
      <c r="Q6" s="5"/>
      <c r="R6" s="5">
        <v>1</v>
      </c>
      <c r="S6" s="4">
        <f>SUM(Identifier!$F6:$R6)</f>
        <v>7</v>
      </c>
    </row>
    <row r="7" spans="1:19" ht="13.2" x14ac:dyDescent="0.25">
      <c r="A7" s="39"/>
      <c r="B7" s="3" t="s">
        <v>28</v>
      </c>
      <c r="C7" s="2" t="s">
        <v>29</v>
      </c>
      <c r="D7" s="2" t="s">
        <v>30</v>
      </c>
      <c r="E7" s="5"/>
      <c r="F7" s="5">
        <v>1</v>
      </c>
      <c r="G7" s="5"/>
      <c r="H7" s="5">
        <v>1</v>
      </c>
      <c r="I7" s="5"/>
      <c r="J7" s="5">
        <v>1</v>
      </c>
      <c r="K7" s="5"/>
      <c r="L7" s="5">
        <v>1</v>
      </c>
      <c r="M7" s="5"/>
      <c r="N7" s="5">
        <v>1</v>
      </c>
      <c r="O7" s="5"/>
      <c r="P7" s="5">
        <v>0</v>
      </c>
      <c r="Q7" s="5"/>
      <c r="R7" s="5">
        <v>0</v>
      </c>
      <c r="S7" s="4">
        <f>SUM(Identifier!$F7:$R7)</f>
        <v>5</v>
      </c>
    </row>
    <row r="8" spans="1:19" ht="13.2" x14ac:dyDescent="0.25">
      <c r="A8" s="39"/>
      <c r="B8" s="3" t="s">
        <v>28</v>
      </c>
      <c r="C8" s="2" t="s">
        <v>31</v>
      </c>
      <c r="D8" s="2" t="s">
        <v>32</v>
      </c>
      <c r="E8" s="5"/>
      <c r="F8" s="5">
        <v>0</v>
      </c>
      <c r="G8" s="5"/>
      <c r="H8" s="5">
        <v>1</v>
      </c>
      <c r="I8" s="5"/>
      <c r="J8" s="5">
        <v>1</v>
      </c>
      <c r="K8" s="5"/>
      <c r="L8" s="5">
        <v>1</v>
      </c>
      <c r="M8" s="5"/>
      <c r="N8" s="5">
        <v>1</v>
      </c>
      <c r="O8" s="5"/>
      <c r="P8" s="5">
        <v>0</v>
      </c>
      <c r="Q8" s="5"/>
      <c r="R8" s="5">
        <v>0</v>
      </c>
      <c r="S8" s="4">
        <f>SUM(Identifier!$F8:$R8)</f>
        <v>4</v>
      </c>
    </row>
    <row r="9" spans="1:19" ht="13.2" x14ac:dyDescent="0.25">
      <c r="A9" s="39"/>
      <c r="B9" s="3" t="s">
        <v>28</v>
      </c>
      <c r="C9" s="2" t="s">
        <v>33</v>
      </c>
      <c r="D9" s="2" t="s">
        <v>34</v>
      </c>
      <c r="E9" s="5"/>
      <c r="F9" s="5">
        <v>1</v>
      </c>
      <c r="G9" s="5"/>
      <c r="H9" s="5">
        <v>0</v>
      </c>
      <c r="I9" s="5"/>
      <c r="J9" s="5">
        <v>0</v>
      </c>
      <c r="K9" s="5"/>
      <c r="L9" s="5">
        <v>0</v>
      </c>
      <c r="M9" s="5"/>
      <c r="N9" s="5">
        <v>0</v>
      </c>
      <c r="O9" s="5"/>
      <c r="P9" s="5">
        <v>0</v>
      </c>
      <c r="Q9" s="5"/>
      <c r="R9" s="5">
        <v>0</v>
      </c>
      <c r="S9" s="4">
        <f>SUM(Identifier!$F9:$R9)</f>
        <v>1</v>
      </c>
    </row>
    <row r="10" spans="1:19" ht="13.2" x14ac:dyDescent="0.25">
      <c r="A10" s="39"/>
      <c r="B10" s="3" t="s">
        <v>28</v>
      </c>
      <c r="C10" s="2" t="s">
        <v>33</v>
      </c>
      <c r="D10" s="2" t="s">
        <v>35</v>
      </c>
      <c r="E10" s="5"/>
      <c r="F10" s="5">
        <v>0</v>
      </c>
      <c r="G10" s="5"/>
      <c r="H10" s="5">
        <v>1</v>
      </c>
      <c r="I10" s="5"/>
      <c r="J10" s="5">
        <v>0</v>
      </c>
      <c r="K10" s="5"/>
      <c r="L10" s="5">
        <v>0</v>
      </c>
      <c r="M10" s="5"/>
      <c r="N10" s="5">
        <v>0</v>
      </c>
      <c r="O10" s="5"/>
      <c r="P10" s="5">
        <v>0</v>
      </c>
      <c r="Q10" s="5"/>
      <c r="R10" s="5">
        <v>0</v>
      </c>
      <c r="S10" s="4">
        <f>SUM(Identifier!$F10:$R10)</f>
        <v>1</v>
      </c>
    </row>
    <row r="11" spans="1:19" ht="13.2" x14ac:dyDescent="0.25">
      <c r="A11" s="39"/>
      <c r="B11" s="3" t="s">
        <v>28</v>
      </c>
      <c r="C11" s="2" t="s">
        <v>33</v>
      </c>
      <c r="D11" s="2" t="s">
        <v>36</v>
      </c>
      <c r="E11" s="5"/>
      <c r="F11" s="5">
        <v>0</v>
      </c>
      <c r="G11" s="5"/>
      <c r="H11" s="5">
        <v>0</v>
      </c>
      <c r="I11" s="5"/>
      <c r="J11" s="5">
        <v>0</v>
      </c>
      <c r="K11" s="5"/>
      <c r="L11" s="5">
        <v>0</v>
      </c>
      <c r="M11" s="5"/>
      <c r="N11" s="5">
        <v>0</v>
      </c>
      <c r="O11" s="5"/>
      <c r="P11" s="5">
        <v>1</v>
      </c>
      <c r="Q11" s="5"/>
      <c r="R11" s="5">
        <v>1</v>
      </c>
      <c r="S11" s="4">
        <f>SUM(Identifier!$F11:$R11)</f>
        <v>2</v>
      </c>
    </row>
    <row r="12" spans="1:19" ht="13.2" x14ac:dyDescent="0.25">
      <c r="A12" s="39"/>
      <c r="B12" s="3" t="s">
        <v>28</v>
      </c>
      <c r="C12" s="2" t="s">
        <v>37</v>
      </c>
      <c r="D12" s="2" t="s">
        <v>38</v>
      </c>
      <c r="E12" s="5"/>
      <c r="F12" s="5">
        <v>0</v>
      </c>
      <c r="G12" s="5"/>
      <c r="H12" s="5">
        <v>0</v>
      </c>
      <c r="I12" s="5"/>
      <c r="J12" s="5">
        <v>1</v>
      </c>
      <c r="K12" s="5"/>
      <c r="L12" s="5">
        <v>1</v>
      </c>
      <c r="M12" s="5"/>
      <c r="N12" s="5">
        <v>1</v>
      </c>
      <c r="O12" s="5"/>
      <c r="P12" s="5">
        <v>0</v>
      </c>
      <c r="Q12" s="5"/>
      <c r="R12" s="5">
        <v>0</v>
      </c>
      <c r="S12" s="4">
        <f>SUM(Identifier!$F12:$R12)</f>
        <v>3</v>
      </c>
    </row>
    <row r="13" spans="1:19" ht="13.2" x14ac:dyDescent="0.25">
      <c r="A13" s="39"/>
      <c r="B13" s="3" t="s">
        <v>28</v>
      </c>
      <c r="C13" s="2" t="s">
        <v>39</v>
      </c>
      <c r="D13" s="2" t="s">
        <v>40</v>
      </c>
      <c r="E13" s="5"/>
      <c r="F13" s="5">
        <v>0</v>
      </c>
      <c r="G13" s="5"/>
      <c r="H13" s="5">
        <v>0</v>
      </c>
      <c r="I13" s="5"/>
      <c r="J13" s="5">
        <v>1</v>
      </c>
      <c r="K13" s="5"/>
      <c r="L13" s="5">
        <v>1</v>
      </c>
      <c r="M13" s="5"/>
      <c r="N13" s="5">
        <v>1</v>
      </c>
      <c r="O13" s="5"/>
      <c r="P13" s="5">
        <v>0</v>
      </c>
      <c r="Q13" s="5"/>
      <c r="R13" s="5">
        <v>0</v>
      </c>
      <c r="S13" s="4">
        <f>SUM(Identifier!$F13:$R13)</f>
        <v>3</v>
      </c>
    </row>
    <row r="14" spans="1:19" ht="13.2" x14ac:dyDescent="0.25">
      <c r="A14" s="39"/>
      <c r="B14" s="3" t="s">
        <v>28</v>
      </c>
      <c r="C14" s="2" t="s">
        <v>41</v>
      </c>
      <c r="D14" s="2" t="s">
        <v>42</v>
      </c>
      <c r="E14" s="5"/>
      <c r="F14" s="5">
        <v>0</v>
      </c>
      <c r="G14" s="5"/>
      <c r="H14" s="5">
        <v>0</v>
      </c>
      <c r="I14" s="5"/>
      <c r="J14" s="5">
        <v>1</v>
      </c>
      <c r="K14" s="5"/>
      <c r="L14" s="5">
        <v>0</v>
      </c>
      <c r="M14" s="5"/>
      <c r="N14" s="5">
        <v>0</v>
      </c>
      <c r="O14" s="5"/>
      <c r="P14" s="5">
        <v>1</v>
      </c>
      <c r="Q14" s="5"/>
      <c r="R14" s="5">
        <v>1</v>
      </c>
      <c r="S14" s="4">
        <f>SUM(Identifier!$F14:$R14)</f>
        <v>3</v>
      </c>
    </row>
    <row r="15" spans="1:19" ht="13.2" x14ac:dyDescent="0.25">
      <c r="A15" s="39"/>
      <c r="B15" s="3" t="s">
        <v>28</v>
      </c>
      <c r="C15" s="2" t="s">
        <v>43</v>
      </c>
      <c r="D15" s="2" t="s">
        <v>44</v>
      </c>
      <c r="E15" s="5"/>
      <c r="F15" s="5">
        <v>1</v>
      </c>
      <c r="G15" s="5"/>
      <c r="H15" s="5">
        <v>0</v>
      </c>
      <c r="I15" s="5"/>
      <c r="J15" s="5">
        <v>0</v>
      </c>
      <c r="K15" s="5"/>
      <c r="L15" s="5">
        <v>0</v>
      </c>
      <c r="M15" s="5"/>
      <c r="N15" s="5">
        <v>0</v>
      </c>
      <c r="O15" s="5"/>
      <c r="P15" s="5">
        <v>0</v>
      </c>
      <c r="Q15" s="5"/>
      <c r="R15" s="5">
        <v>0</v>
      </c>
      <c r="S15" s="4">
        <f>SUM(Identifier!$F15:$R15)</f>
        <v>1</v>
      </c>
    </row>
    <row r="16" spans="1:19" ht="13.2" x14ac:dyDescent="0.25">
      <c r="A16" s="39"/>
      <c r="B16" s="3" t="s">
        <v>28</v>
      </c>
      <c r="C16" s="2" t="s">
        <v>43</v>
      </c>
      <c r="D16" s="2" t="s">
        <v>45</v>
      </c>
      <c r="E16" s="5"/>
      <c r="F16" s="5">
        <v>0</v>
      </c>
      <c r="G16" s="5"/>
      <c r="H16" s="5">
        <v>0</v>
      </c>
      <c r="I16" s="5"/>
      <c r="J16" s="5">
        <v>1</v>
      </c>
      <c r="K16" s="5"/>
      <c r="L16" s="5">
        <v>1</v>
      </c>
      <c r="M16" s="5"/>
      <c r="N16" s="5">
        <v>1</v>
      </c>
      <c r="O16" s="5"/>
      <c r="P16" s="5">
        <v>0</v>
      </c>
      <c r="Q16" s="5"/>
      <c r="R16" s="5">
        <v>0</v>
      </c>
      <c r="S16" s="4">
        <f>SUM(Identifier!$F16:$R16)</f>
        <v>3</v>
      </c>
    </row>
    <row r="17" spans="1:19" ht="13.2" x14ac:dyDescent="0.25">
      <c r="A17" s="39"/>
      <c r="B17" s="3" t="s">
        <v>46</v>
      </c>
      <c r="C17" s="2" t="s">
        <v>47</v>
      </c>
      <c r="D17" s="2" t="s">
        <v>48</v>
      </c>
      <c r="E17" s="5"/>
      <c r="F17" s="5">
        <v>1</v>
      </c>
      <c r="G17" s="5"/>
      <c r="H17" s="5">
        <v>1</v>
      </c>
      <c r="I17" s="5"/>
      <c r="J17" s="5">
        <v>1</v>
      </c>
      <c r="K17" s="5"/>
      <c r="L17" s="5">
        <v>1</v>
      </c>
      <c r="M17" s="5"/>
      <c r="N17" s="5">
        <v>1</v>
      </c>
      <c r="O17" s="5"/>
      <c r="P17" s="5">
        <v>1</v>
      </c>
      <c r="Q17" s="5"/>
      <c r="R17" s="5">
        <v>1</v>
      </c>
      <c r="S17" s="4">
        <f>SUM(Identifier!$F17:$R17)</f>
        <v>7</v>
      </c>
    </row>
    <row r="18" spans="1:19" ht="13.2" x14ac:dyDescent="0.25">
      <c r="A18" s="6"/>
      <c r="B18" s="3" t="s">
        <v>46</v>
      </c>
      <c r="C18" s="2" t="s">
        <v>49</v>
      </c>
      <c r="D18" s="2" t="s">
        <v>50</v>
      </c>
      <c r="E18" s="5"/>
      <c r="F18" s="5">
        <v>1</v>
      </c>
      <c r="G18" s="5"/>
      <c r="H18" s="5">
        <v>1</v>
      </c>
      <c r="I18" s="5"/>
      <c r="J18" s="5">
        <v>0</v>
      </c>
      <c r="K18" s="5"/>
      <c r="L18" s="5">
        <v>0</v>
      </c>
      <c r="M18" s="5"/>
      <c r="N18" s="5">
        <v>0</v>
      </c>
      <c r="O18" s="5"/>
      <c r="P18" s="5">
        <v>1</v>
      </c>
      <c r="Q18" s="5"/>
      <c r="R18" s="5">
        <v>1</v>
      </c>
      <c r="S18" s="4">
        <f>SUM(Identifier!$F18:$R18)</f>
        <v>4</v>
      </c>
    </row>
    <row r="19" spans="1:19" ht="13.2" x14ac:dyDescent="0.25">
      <c r="A19" s="6"/>
      <c r="B19" s="3" t="s">
        <v>46</v>
      </c>
      <c r="C19" s="2" t="s">
        <v>49</v>
      </c>
      <c r="D19" s="2" t="s">
        <v>51</v>
      </c>
      <c r="E19" s="5"/>
      <c r="F19" s="5">
        <v>0</v>
      </c>
      <c r="G19" s="5"/>
      <c r="H19" s="5">
        <v>0</v>
      </c>
      <c r="I19" s="5"/>
      <c r="J19" s="5">
        <v>1</v>
      </c>
      <c r="K19" s="5"/>
      <c r="L19" s="5">
        <v>1</v>
      </c>
      <c r="M19" s="5"/>
      <c r="N19" s="5">
        <v>1</v>
      </c>
      <c r="O19" s="5"/>
      <c r="P19" s="5">
        <v>0</v>
      </c>
      <c r="Q19" s="5"/>
      <c r="R19" s="5">
        <v>0</v>
      </c>
      <c r="S19" s="4">
        <f>SUM(Identifier!$F19:$R19)</f>
        <v>3</v>
      </c>
    </row>
    <row r="20" spans="1:19" ht="13.2" x14ac:dyDescent="0.25">
      <c r="B20" s="3" t="s">
        <v>52</v>
      </c>
      <c r="C20" s="2" t="s">
        <v>53</v>
      </c>
      <c r="D20" s="2" t="s">
        <v>54</v>
      </c>
      <c r="E20" s="5"/>
      <c r="F20" s="5">
        <v>1</v>
      </c>
      <c r="G20" s="5"/>
      <c r="H20" s="5">
        <v>0</v>
      </c>
      <c r="I20" s="5"/>
      <c r="J20" s="5">
        <v>0</v>
      </c>
      <c r="K20" s="5"/>
      <c r="L20" s="5">
        <v>0</v>
      </c>
      <c r="M20" s="5"/>
      <c r="N20" s="5">
        <v>0</v>
      </c>
      <c r="O20" s="5"/>
      <c r="P20" s="5">
        <v>0</v>
      </c>
      <c r="Q20" s="5"/>
      <c r="R20" s="5">
        <v>0</v>
      </c>
      <c r="S20" s="4">
        <f>SUM(Identifier!$F20:$R20)</f>
        <v>1</v>
      </c>
    </row>
    <row r="21" spans="1:19" ht="13.2" x14ac:dyDescent="0.25">
      <c r="B21" s="3" t="s">
        <v>52</v>
      </c>
      <c r="C21" s="2" t="s">
        <v>55</v>
      </c>
      <c r="D21" s="2" t="s">
        <v>56</v>
      </c>
      <c r="E21" s="5"/>
      <c r="F21" s="5">
        <v>0</v>
      </c>
      <c r="G21" s="5"/>
      <c r="H21" s="5">
        <v>1</v>
      </c>
      <c r="I21" s="5"/>
      <c r="J21" s="5">
        <v>1</v>
      </c>
      <c r="K21" s="5"/>
      <c r="L21" s="5">
        <v>1</v>
      </c>
      <c r="M21" s="5"/>
      <c r="N21" s="5">
        <v>1</v>
      </c>
      <c r="O21" s="5"/>
      <c r="P21" s="5">
        <v>1</v>
      </c>
      <c r="Q21" s="5"/>
      <c r="R21" s="5">
        <v>1</v>
      </c>
      <c r="S21" s="4">
        <f>SUM(Identifier!$F21:$R21)</f>
        <v>6</v>
      </c>
    </row>
    <row r="22" spans="1:19" ht="13.2" x14ac:dyDescent="0.25">
      <c r="B22" s="3" t="s">
        <v>52</v>
      </c>
      <c r="C22" s="2" t="s">
        <v>57</v>
      </c>
      <c r="D22" s="2" t="s">
        <v>58</v>
      </c>
      <c r="E22" s="5"/>
      <c r="F22" s="5">
        <v>1</v>
      </c>
      <c r="G22" s="5"/>
      <c r="H22" s="5">
        <v>1</v>
      </c>
      <c r="I22" s="5"/>
      <c r="J22" s="5">
        <v>1</v>
      </c>
      <c r="K22" s="5"/>
      <c r="L22" s="5">
        <v>1</v>
      </c>
      <c r="M22" s="5"/>
      <c r="N22" s="5">
        <v>1</v>
      </c>
      <c r="O22" s="5"/>
      <c r="P22" s="5">
        <v>1</v>
      </c>
      <c r="Q22" s="5"/>
      <c r="R22" s="5">
        <v>1</v>
      </c>
      <c r="S22" s="4">
        <f>SUM(Identifier!$F22:$R22)</f>
        <v>7</v>
      </c>
    </row>
    <row r="23" spans="1:19" ht="13.2" x14ac:dyDescent="0.25">
      <c r="B23" s="3" t="s">
        <v>52</v>
      </c>
      <c r="C23" s="2" t="s">
        <v>59</v>
      </c>
      <c r="D23" s="2" t="s">
        <v>60</v>
      </c>
      <c r="E23" s="5"/>
      <c r="F23" s="5">
        <v>0</v>
      </c>
      <c r="G23" s="5"/>
      <c r="H23" s="5">
        <v>1</v>
      </c>
      <c r="I23" s="5"/>
      <c r="J23" s="5">
        <v>1</v>
      </c>
      <c r="K23" s="5"/>
      <c r="L23" s="5">
        <v>1</v>
      </c>
      <c r="M23" s="5"/>
      <c r="N23" s="5">
        <v>1</v>
      </c>
      <c r="O23" s="5"/>
      <c r="P23" s="5">
        <v>1</v>
      </c>
      <c r="Q23" s="5"/>
      <c r="R23" s="5">
        <v>0</v>
      </c>
      <c r="S23" s="4">
        <f>SUM(Identifier!$F23:$R23)</f>
        <v>5</v>
      </c>
    </row>
    <row r="24" spans="1:19" ht="13.2" x14ac:dyDescent="0.25">
      <c r="A24" s="6"/>
      <c r="B24" s="3" t="s">
        <v>52</v>
      </c>
      <c r="C24" s="2" t="s">
        <v>61</v>
      </c>
      <c r="D24" s="2" t="s">
        <v>62</v>
      </c>
      <c r="E24" s="5"/>
      <c r="F24" s="5">
        <v>0</v>
      </c>
      <c r="G24" s="5"/>
      <c r="H24" s="5">
        <v>0</v>
      </c>
      <c r="I24" s="5"/>
      <c r="J24" s="5">
        <v>1</v>
      </c>
      <c r="K24" s="5"/>
      <c r="L24" s="5">
        <v>1</v>
      </c>
      <c r="M24" s="5"/>
      <c r="N24" s="5">
        <v>1</v>
      </c>
      <c r="O24" s="5"/>
      <c r="P24" s="5">
        <v>0</v>
      </c>
      <c r="Q24" s="5"/>
      <c r="R24" s="5">
        <v>0</v>
      </c>
      <c r="S24" s="4">
        <f>SUM(Identifier!$F24:$R24)</f>
        <v>3</v>
      </c>
    </row>
    <row r="25" spans="1:19" ht="13.2" x14ac:dyDescent="0.25">
      <c r="B25" s="3" t="s">
        <v>52</v>
      </c>
      <c r="C25" s="2" t="s">
        <v>63</v>
      </c>
      <c r="D25" s="2" t="s">
        <v>64</v>
      </c>
      <c r="E25" s="5"/>
      <c r="F25" s="5">
        <v>1</v>
      </c>
      <c r="G25" s="5"/>
      <c r="H25" s="5">
        <v>1</v>
      </c>
      <c r="I25" s="5"/>
      <c r="J25" s="5">
        <v>1</v>
      </c>
      <c r="K25" s="5"/>
      <c r="L25" s="5">
        <v>1</v>
      </c>
      <c r="M25" s="5"/>
      <c r="N25" s="5">
        <v>1</v>
      </c>
      <c r="O25" s="5"/>
      <c r="P25" s="5">
        <v>0</v>
      </c>
      <c r="Q25" s="5"/>
      <c r="R25" s="5">
        <v>1</v>
      </c>
      <c r="S25" s="4">
        <f>SUM(Identifier!$F25:$R25)</f>
        <v>6</v>
      </c>
    </row>
    <row r="26" spans="1:19" ht="13.2" x14ac:dyDescent="0.25">
      <c r="B26" s="3" t="s">
        <v>52</v>
      </c>
      <c r="C26" s="2" t="s">
        <v>65</v>
      </c>
      <c r="D26" s="2" t="s">
        <v>66</v>
      </c>
      <c r="E26" s="5"/>
      <c r="F26" s="5">
        <v>1</v>
      </c>
      <c r="G26" s="5"/>
      <c r="H26" s="5">
        <v>1</v>
      </c>
      <c r="I26" s="5"/>
      <c r="J26" s="5">
        <v>1</v>
      </c>
      <c r="K26" s="5"/>
      <c r="L26" s="5">
        <v>1</v>
      </c>
      <c r="M26" s="5"/>
      <c r="N26" s="5">
        <v>1</v>
      </c>
      <c r="O26" s="5"/>
      <c r="P26" s="5">
        <v>1</v>
      </c>
      <c r="Q26" s="5"/>
      <c r="R26" s="5">
        <v>1</v>
      </c>
      <c r="S26" s="4">
        <f>SUM(Identifier!$F26:$R26)</f>
        <v>7</v>
      </c>
    </row>
    <row r="27" spans="1:19" ht="13.2" x14ac:dyDescent="0.25">
      <c r="B27" s="3" t="s">
        <v>52</v>
      </c>
      <c r="C27" s="2" t="s">
        <v>67</v>
      </c>
      <c r="D27" s="2" t="s">
        <v>68</v>
      </c>
      <c r="E27" s="5"/>
      <c r="F27" s="5">
        <v>1</v>
      </c>
      <c r="G27" s="5"/>
      <c r="H27" s="5">
        <v>0</v>
      </c>
      <c r="I27" s="5"/>
      <c r="J27" s="5">
        <v>0</v>
      </c>
      <c r="K27" s="5"/>
      <c r="L27" s="5">
        <v>0</v>
      </c>
      <c r="M27" s="5"/>
      <c r="N27" s="5">
        <v>0</v>
      </c>
      <c r="O27" s="5"/>
      <c r="P27" s="5">
        <v>0</v>
      </c>
      <c r="Q27" s="5"/>
      <c r="R27" s="5">
        <v>0</v>
      </c>
      <c r="S27" s="4">
        <f>SUM(Identifier!$F27:$R27)</f>
        <v>1</v>
      </c>
    </row>
    <row r="28" spans="1:19" ht="13.2" x14ac:dyDescent="0.25">
      <c r="B28" s="3" t="s">
        <v>52</v>
      </c>
      <c r="C28" s="2" t="s">
        <v>67</v>
      </c>
      <c r="D28" s="2" t="s">
        <v>69</v>
      </c>
      <c r="E28" s="5"/>
      <c r="F28" s="5">
        <v>0</v>
      </c>
      <c r="G28" s="5"/>
      <c r="H28" s="5">
        <v>1</v>
      </c>
      <c r="I28" s="5"/>
      <c r="J28" s="5">
        <v>0</v>
      </c>
      <c r="K28" s="5"/>
      <c r="L28" s="5">
        <v>0</v>
      </c>
      <c r="M28" s="5"/>
      <c r="N28" s="5">
        <v>0</v>
      </c>
      <c r="O28" s="5"/>
      <c r="P28" s="5">
        <v>0</v>
      </c>
      <c r="Q28" s="5"/>
      <c r="R28" s="5">
        <v>0</v>
      </c>
      <c r="S28" s="4">
        <f>SUM(Identifier!$F28:$R28)</f>
        <v>1</v>
      </c>
    </row>
    <row r="29" spans="1:19" ht="13.2" x14ac:dyDescent="0.25">
      <c r="B29" s="3" t="s">
        <v>52</v>
      </c>
      <c r="C29" s="2" t="s">
        <v>67</v>
      </c>
      <c r="D29" s="2" t="s">
        <v>70</v>
      </c>
      <c r="E29" s="5"/>
      <c r="F29" s="5">
        <v>0</v>
      </c>
      <c r="G29" s="5"/>
      <c r="H29" s="5">
        <v>0</v>
      </c>
      <c r="I29" s="5"/>
      <c r="J29" s="5">
        <v>1</v>
      </c>
      <c r="K29" s="5"/>
      <c r="L29" s="5">
        <v>1</v>
      </c>
      <c r="M29" s="5"/>
      <c r="N29" s="5">
        <v>1</v>
      </c>
      <c r="O29" s="5"/>
      <c r="P29" s="5">
        <v>0</v>
      </c>
      <c r="Q29" s="5"/>
      <c r="R29" s="5">
        <v>0</v>
      </c>
      <c r="S29" s="4">
        <f>SUM(Identifier!$F29:$R29)</f>
        <v>3</v>
      </c>
    </row>
    <row r="30" spans="1:19" ht="13.2" x14ac:dyDescent="0.25">
      <c r="B30" s="3" t="s">
        <v>52</v>
      </c>
      <c r="C30" s="2" t="s">
        <v>67</v>
      </c>
      <c r="D30" s="2" t="s">
        <v>71</v>
      </c>
      <c r="E30" s="5"/>
      <c r="F30" s="5">
        <v>0</v>
      </c>
      <c r="G30" s="5"/>
      <c r="H30" s="5">
        <v>0</v>
      </c>
      <c r="I30" s="5"/>
      <c r="J30" s="5">
        <v>0</v>
      </c>
      <c r="K30" s="5"/>
      <c r="L30" s="5">
        <v>0</v>
      </c>
      <c r="M30" s="5"/>
      <c r="N30" s="5">
        <v>0</v>
      </c>
      <c r="O30" s="5"/>
      <c r="P30" s="5">
        <v>1</v>
      </c>
      <c r="Q30" s="5"/>
      <c r="R30" s="5">
        <v>0</v>
      </c>
      <c r="S30" s="4">
        <f>SUM(Identifier!$F30:$R30)</f>
        <v>1</v>
      </c>
    </row>
    <row r="31" spans="1:19" ht="13.2" x14ac:dyDescent="0.25">
      <c r="B31" s="3" t="s">
        <v>52</v>
      </c>
      <c r="C31" s="2" t="s">
        <v>67</v>
      </c>
      <c r="D31" s="2" t="s">
        <v>72</v>
      </c>
      <c r="E31" s="5"/>
      <c r="F31" s="5">
        <v>0</v>
      </c>
      <c r="G31" s="5"/>
      <c r="H31" s="5">
        <v>0</v>
      </c>
      <c r="I31" s="5"/>
      <c r="J31" s="5">
        <v>0</v>
      </c>
      <c r="K31" s="5"/>
      <c r="L31" s="5">
        <v>0</v>
      </c>
      <c r="M31" s="5"/>
      <c r="N31" s="5">
        <v>0</v>
      </c>
      <c r="O31" s="5"/>
      <c r="P31" s="5">
        <v>0</v>
      </c>
      <c r="Q31" s="5"/>
      <c r="R31" s="5">
        <v>1</v>
      </c>
      <c r="S31" s="4">
        <f>SUM(Identifier!$F31:$R31)</f>
        <v>1</v>
      </c>
    </row>
    <row r="32" spans="1:19" ht="13.2" x14ac:dyDescent="0.25">
      <c r="B32" s="3" t="s">
        <v>52</v>
      </c>
      <c r="C32" s="2" t="s">
        <v>73</v>
      </c>
      <c r="D32" s="2" t="s">
        <v>74</v>
      </c>
      <c r="E32" s="5"/>
      <c r="F32" s="5">
        <v>0</v>
      </c>
      <c r="G32" s="5"/>
      <c r="H32" s="5">
        <v>1</v>
      </c>
      <c r="I32" s="5"/>
      <c r="J32" s="5">
        <v>0</v>
      </c>
      <c r="K32" s="5"/>
      <c r="L32" s="5">
        <v>0</v>
      </c>
      <c r="M32" s="5"/>
      <c r="N32" s="5">
        <v>0</v>
      </c>
      <c r="O32" s="5"/>
      <c r="P32" s="5">
        <v>0</v>
      </c>
      <c r="Q32" s="5"/>
      <c r="R32" s="5">
        <v>0</v>
      </c>
      <c r="S32" s="4">
        <f>SUM(Identifier!$F32:$R32)</f>
        <v>1</v>
      </c>
    </row>
    <row r="33" spans="2:19" ht="13.2" x14ac:dyDescent="0.25">
      <c r="B33" s="3" t="s">
        <v>52</v>
      </c>
      <c r="C33" s="2" t="s">
        <v>75</v>
      </c>
      <c r="D33" s="2" t="s">
        <v>76</v>
      </c>
      <c r="E33" s="5"/>
      <c r="F33" s="5">
        <v>1</v>
      </c>
      <c r="G33" s="5"/>
      <c r="H33" s="5">
        <v>0</v>
      </c>
      <c r="I33" s="5"/>
      <c r="J33" s="5">
        <v>0</v>
      </c>
      <c r="K33" s="5"/>
      <c r="L33" s="5">
        <v>0</v>
      </c>
      <c r="M33" s="5"/>
      <c r="N33" s="5">
        <v>0</v>
      </c>
      <c r="O33" s="5"/>
      <c r="P33" s="5">
        <v>1</v>
      </c>
      <c r="Q33" s="5"/>
      <c r="R33" s="5">
        <v>1</v>
      </c>
      <c r="S33" s="4">
        <f>SUM(Identifier!$F33:$R33)</f>
        <v>3</v>
      </c>
    </row>
    <row r="34" spans="2:19" ht="13.2" x14ac:dyDescent="0.25">
      <c r="B34" s="3" t="s">
        <v>52</v>
      </c>
      <c r="C34" s="2" t="s">
        <v>75</v>
      </c>
      <c r="D34" s="2" t="s">
        <v>77</v>
      </c>
      <c r="E34" s="5"/>
      <c r="F34" s="5">
        <v>0</v>
      </c>
      <c r="G34" s="5"/>
      <c r="H34" s="5">
        <v>1</v>
      </c>
      <c r="I34" s="5"/>
      <c r="J34" s="5">
        <v>1</v>
      </c>
      <c r="K34" s="5"/>
      <c r="L34" s="5">
        <v>1</v>
      </c>
      <c r="M34" s="5"/>
      <c r="N34" s="5">
        <v>1</v>
      </c>
      <c r="O34" s="5"/>
      <c r="P34" s="5">
        <v>0</v>
      </c>
      <c r="Q34" s="5"/>
      <c r="R34" s="5">
        <v>0</v>
      </c>
      <c r="S34" s="4">
        <f>SUM(Identifier!$F34:$R34)</f>
        <v>4</v>
      </c>
    </row>
    <row r="35" spans="2:19" ht="13.2" x14ac:dyDescent="0.25">
      <c r="B35" s="3" t="s">
        <v>52</v>
      </c>
      <c r="C35" s="2" t="s">
        <v>78</v>
      </c>
      <c r="D35" s="2" t="s">
        <v>79</v>
      </c>
      <c r="E35" s="5"/>
      <c r="F35" s="5">
        <v>1</v>
      </c>
      <c r="G35" s="5"/>
      <c r="H35" s="5">
        <v>1</v>
      </c>
      <c r="I35" s="5"/>
      <c r="J35" s="5">
        <v>1</v>
      </c>
      <c r="K35" s="5"/>
      <c r="L35" s="5">
        <v>1</v>
      </c>
      <c r="M35" s="5"/>
      <c r="N35" s="5">
        <v>1</v>
      </c>
      <c r="O35" s="5"/>
      <c r="P35" s="5">
        <v>1</v>
      </c>
      <c r="Q35" s="5"/>
      <c r="R35" s="5">
        <v>1</v>
      </c>
      <c r="S35" s="4">
        <f>SUM(Identifier!$F35:$R35)</f>
        <v>7</v>
      </c>
    </row>
    <row r="36" spans="2:19" ht="13.2" x14ac:dyDescent="0.25">
      <c r="B36" s="3" t="s">
        <v>52</v>
      </c>
      <c r="C36" s="2" t="s">
        <v>80</v>
      </c>
      <c r="D36" s="2" t="s">
        <v>81</v>
      </c>
      <c r="E36" s="5"/>
      <c r="F36" s="5">
        <v>1</v>
      </c>
      <c r="G36" s="5"/>
      <c r="H36" s="5">
        <v>1</v>
      </c>
      <c r="I36" s="5"/>
      <c r="J36" s="5">
        <v>1</v>
      </c>
      <c r="K36" s="5"/>
      <c r="L36" s="5">
        <v>1</v>
      </c>
      <c r="M36" s="5"/>
      <c r="N36" s="5">
        <v>1</v>
      </c>
      <c r="O36" s="5"/>
      <c r="P36" s="5">
        <v>0</v>
      </c>
      <c r="Q36" s="5"/>
      <c r="R36" s="5">
        <v>1</v>
      </c>
      <c r="S36" s="4">
        <f>SUM(Identifier!$F36:$R36)</f>
        <v>6</v>
      </c>
    </row>
    <row r="37" spans="2:19" ht="13.2" x14ac:dyDescent="0.25">
      <c r="B37" s="3" t="s">
        <v>52</v>
      </c>
      <c r="C37" s="2" t="s">
        <v>82</v>
      </c>
      <c r="D37" s="2" t="s">
        <v>83</v>
      </c>
      <c r="E37" s="5"/>
      <c r="F37" s="5">
        <v>0</v>
      </c>
      <c r="G37" s="5"/>
      <c r="H37" s="5">
        <v>0</v>
      </c>
      <c r="I37" s="5"/>
      <c r="J37" s="5">
        <v>1</v>
      </c>
      <c r="K37" s="5"/>
      <c r="L37" s="5">
        <v>1</v>
      </c>
      <c r="M37" s="5"/>
      <c r="N37" s="5">
        <v>1</v>
      </c>
      <c r="O37" s="5"/>
      <c r="P37" s="5">
        <v>0</v>
      </c>
      <c r="Q37" s="5"/>
      <c r="R37" s="5">
        <v>0</v>
      </c>
      <c r="S37" s="4">
        <f>SUM(Identifier!$F37:$R37)</f>
        <v>3</v>
      </c>
    </row>
    <row r="38" spans="2:19" ht="13.2" x14ac:dyDescent="0.25">
      <c r="B38" s="3" t="s">
        <v>52</v>
      </c>
      <c r="C38" s="2" t="s">
        <v>84</v>
      </c>
      <c r="D38" s="2" t="s">
        <v>85</v>
      </c>
      <c r="E38" s="5"/>
      <c r="F38" s="5">
        <v>1</v>
      </c>
      <c r="G38" s="5"/>
      <c r="H38" s="5">
        <v>0</v>
      </c>
      <c r="I38" s="5"/>
      <c r="J38" s="5">
        <v>0</v>
      </c>
      <c r="K38" s="5"/>
      <c r="L38" s="5">
        <v>0</v>
      </c>
      <c r="M38" s="5"/>
      <c r="N38" s="5">
        <v>0</v>
      </c>
      <c r="O38" s="5"/>
      <c r="P38" s="5">
        <v>0</v>
      </c>
      <c r="Q38" s="5"/>
      <c r="R38" s="5">
        <v>0</v>
      </c>
      <c r="S38" s="4">
        <f>SUM(Identifier!$F38:$R38)</f>
        <v>1</v>
      </c>
    </row>
    <row r="39" spans="2:19" ht="13.2" x14ac:dyDescent="0.25">
      <c r="B39" s="3" t="s">
        <v>52</v>
      </c>
      <c r="C39" s="2" t="s">
        <v>84</v>
      </c>
      <c r="D39" s="2" t="s">
        <v>86</v>
      </c>
      <c r="E39" s="5"/>
      <c r="F39" s="5">
        <v>0</v>
      </c>
      <c r="G39" s="5"/>
      <c r="H39" s="5">
        <v>1</v>
      </c>
      <c r="I39" s="5"/>
      <c r="J39" s="5">
        <v>0</v>
      </c>
      <c r="K39" s="5"/>
      <c r="L39" s="5">
        <v>0</v>
      </c>
      <c r="M39" s="5"/>
      <c r="N39" s="5">
        <v>0</v>
      </c>
      <c r="O39" s="5"/>
      <c r="P39" s="5">
        <v>1</v>
      </c>
      <c r="Q39" s="5"/>
      <c r="R39" s="5">
        <v>0</v>
      </c>
      <c r="S39" s="4">
        <f>SUM(Identifier!$F39:$R39)</f>
        <v>2</v>
      </c>
    </row>
    <row r="40" spans="2:19" ht="13.2" x14ac:dyDescent="0.25">
      <c r="B40" s="3" t="s">
        <v>52</v>
      </c>
      <c r="C40" s="2" t="s">
        <v>84</v>
      </c>
      <c r="D40" s="2" t="s">
        <v>87</v>
      </c>
      <c r="E40" s="5"/>
      <c r="F40" s="5">
        <v>0</v>
      </c>
      <c r="G40" s="5"/>
      <c r="H40" s="5">
        <v>0</v>
      </c>
      <c r="I40" s="5"/>
      <c r="J40" s="5">
        <v>1</v>
      </c>
      <c r="K40" s="5"/>
      <c r="L40" s="5">
        <v>1</v>
      </c>
      <c r="M40" s="5"/>
      <c r="N40" s="5">
        <v>1</v>
      </c>
      <c r="O40" s="5"/>
      <c r="P40" s="5">
        <v>0</v>
      </c>
      <c r="Q40" s="5"/>
      <c r="R40" s="5">
        <v>0</v>
      </c>
      <c r="S40" s="4">
        <f>SUM(Identifier!$F40:$R40)</f>
        <v>3</v>
      </c>
    </row>
    <row r="41" spans="2:19" ht="13.2" x14ac:dyDescent="0.25">
      <c r="B41" s="3" t="s">
        <v>52</v>
      </c>
      <c r="C41" s="2" t="s">
        <v>84</v>
      </c>
      <c r="D41" s="2" t="s">
        <v>88</v>
      </c>
      <c r="E41" s="5"/>
      <c r="F41" s="5">
        <v>0</v>
      </c>
      <c r="G41" s="5"/>
      <c r="H41" s="5">
        <v>0</v>
      </c>
      <c r="I41" s="5"/>
      <c r="J41" s="5">
        <v>0</v>
      </c>
      <c r="K41" s="5"/>
      <c r="L41" s="5">
        <v>0</v>
      </c>
      <c r="M41" s="5"/>
      <c r="N41" s="5">
        <v>0</v>
      </c>
      <c r="O41" s="5"/>
      <c r="P41" s="5">
        <v>0</v>
      </c>
      <c r="Q41" s="5"/>
      <c r="R41" s="5">
        <v>1</v>
      </c>
      <c r="S41" s="4">
        <f>SUM(Identifier!$F41:$R41)</f>
        <v>1</v>
      </c>
    </row>
    <row r="42" spans="2:19" ht="13.2" x14ac:dyDescent="0.25">
      <c r="B42" s="3" t="s">
        <v>52</v>
      </c>
      <c r="C42" s="2" t="s">
        <v>89</v>
      </c>
      <c r="D42" s="2" t="s">
        <v>90</v>
      </c>
      <c r="E42" s="5"/>
      <c r="F42" s="5">
        <v>1</v>
      </c>
      <c r="G42" s="5"/>
      <c r="H42" s="5">
        <v>0</v>
      </c>
      <c r="I42" s="5"/>
      <c r="J42" s="5">
        <v>0</v>
      </c>
      <c r="K42" s="5"/>
      <c r="L42" s="5">
        <v>0</v>
      </c>
      <c r="M42" s="5"/>
      <c r="N42" s="5">
        <v>0</v>
      </c>
      <c r="O42" s="5"/>
      <c r="P42" s="5">
        <v>1</v>
      </c>
      <c r="Q42" s="5"/>
      <c r="R42" s="5">
        <v>0</v>
      </c>
      <c r="S42" s="4">
        <f>SUM(Identifier!$F42:$R42)</f>
        <v>2</v>
      </c>
    </row>
    <row r="43" spans="2:19" ht="13.2" x14ac:dyDescent="0.25">
      <c r="B43" s="3" t="s">
        <v>52</v>
      </c>
      <c r="C43" s="2" t="s">
        <v>89</v>
      </c>
      <c r="D43" s="2" t="s">
        <v>91</v>
      </c>
      <c r="E43" s="5"/>
      <c r="F43" s="5">
        <v>0</v>
      </c>
      <c r="G43" s="5"/>
      <c r="H43" s="5">
        <v>1</v>
      </c>
      <c r="I43" s="5"/>
      <c r="J43" s="5">
        <v>1</v>
      </c>
      <c r="K43" s="5"/>
      <c r="L43" s="5">
        <v>1</v>
      </c>
      <c r="M43" s="5"/>
      <c r="N43" s="5">
        <v>1</v>
      </c>
      <c r="O43" s="5"/>
      <c r="P43" s="5">
        <v>0</v>
      </c>
      <c r="Q43" s="5"/>
      <c r="R43" s="5">
        <v>0</v>
      </c>
      <c r="S43" s="4">
        <f>SUM(Identifier!$F43:$R43)</f>
        <v>4</v>
      </c>
    </row>
    <row r="44" spans="2:19" ht="13.2" x14ac:dyDescent="0.25">
      <c r="B44" s="3" t="s">
        <v>52</v>
      </c>
      <c r="C44" s="2" t="s">
        <v>89</v>
      </c>
      <c r="D44" s="2" t="s">
        <v>92</v>
      </c>
      <c r="E44" s="5"/>
      <c r="F44" s="5">
        <v>0</v>
      </c>
      <c r="G44" s="5"/>
      <c r="H44" s="5">
        <v>0</v>
      </c>
      <c r="I44" s="5"/>
      <c r="J44" s="5">
        <v>0</v>
      </c>
      <c r="K44" s="5"/>
      <c r="L44" s="5">
        <v>0</v>
      </c>
      <c r="M44" s="5"/>
      <c r="N44" s="5">
        <v>0</v>
      </c>
      <c r="O44" s="5"/>
      <c r="P44" s="5">
        <v>0</v>
      </c>
      <c r="Q44" s="5"/>
      <c r="R44" s="5">
        <v>1</v>
      </c>
      <c r="S44" s="4">
        <f>SUM(Identifier!$F44:$R44)</f>
        <v>1</v>
      </c>
    </row>
    <row r="45" spans="2:19" ht="13.2" x14ac:dyDescent="0.25">
      <c r="B45" s="3" t="s">
        <v>52</v>
      </c>
      <c r="C45" s="2" t="s">
        <v>93</v>
      </c>
      <c r="D45" s="2" t="s">
        <v>94</v>
      </c>
      <c r="E45" s="5"/>
      <c r="F45" s="5">
        <v>0</v>
      </c>
      <c r="G45" s="5"/>
      <c r="H45" s="5">
        <v>1</v>
      </c>
      <c r="I45" s="5"/>
      <c r="J45" s="5">
        <v>0</v>
      </c>
      <c r="K45" s="5"/>
      <c r="L45" s="5">
        <v>0</v>
      </c>
      <c r="M45" s="5"/>
      <c r="N45" s="5">
        <v>0</v>
      </c>
      <c r="O45" s="5"/>
      <c r="P45" s="5">
        <v>0</v>
      </c>
      <c r="Q45" s="5"/>
      <c r="R45" s="5">
        <v>0</v>
      </c>
      <c r="S45" s="4">
        <f>SUM(Identifier!$F45:$R45)</f>
        <v>1</v>
      </c>
    </row>
    <row r="46" spans="2:19" ht="13.2" x14ac:dyDescent="0.25">
      <c r="B46" s="3" t="s">
        <v>52</v>
      </c>
      <c r="C46" s="2" t="s">
        <v>95</v>
      </c>
      <c r="D46" s="2" t="s">
        <v>96</v>
      </c>
      <c r="E46" s="5"/>
      <c r="F46" s="5">
        <v>0</v>
      </c>
      <c r="G46" s="5"/>
      <c r="H46" s="5">
        <v>1</v>
      </c>
      <c r="I46" s="5"/>
      <c r="J46" s="5">
        <v>0</v>
      </c>
      <c r="K46" s="5"/>
      <c r="L46" s="5">
        <v>0</v>
      </c>
      <c r="M46" s="5"/>
      <c r="N46" s="5">
        <v>0</v>
      </c>
      <c r="O46" s="5"/>
      <c r="P46" s="5">
        <v>0</v>
      </c>
      <c r="Q46" s="5"/>
      <c r="R46" s="5">
        <v>0</v>
      </c>
      <c r="S46" s="4">
        <f>SUM(Identifier!$F46:$R46)</f>
        <v>1</v>
      </c>
    </row>
    <row r="47" spans="2:19" ht="13.2" x14ac:dyDescent="0.25">
      <c r="B47" s="3" t="s">
        <v>52</v>
      </c>
      <c r="C47" s="2" t="s">
        <v>97</v>
      </c>
      <c r="D47" s="2" t="s">
        <v>98</v>
      </c>
      <c r="E47" s="5"/>
      <c r="F47" s="5">
        <v>0</v>
      </c>
      <c r="G47" s="5"/>
      <c r="H47" s="5">
        <v>1</v>
      </c>
      <c r="I47" s="5"/>
      <c r="J47" s="5">
        <v>1</v>
      </c>
      <c r="K47" s="5"/>
      <c r="L47" s="5">
        <v>1</v>
      </c>
      <c r="M47" s="5"/>
      <c r="N47" s="5">
        <v>1</v>
      </c>
      <c r="O47" s="5"/>
      <c r="P47" s="5">
        <v>0</v>
      </c>
      <c r="Q47" s="5"/>
      <c r="R47" s="5">
        <v>0</v>
      </c>
      <c r="S47" s="4">
        <f>SUM(Identifier!$F47:$R47)</f>
        <v>4</v>
      </c>
    </row>
    <row r="48" spans="2:19" ht="13.2" x14ac:dyDescent="0.25">
      <c r="B48" s="3" t="s">
        <v>52</v>
      </c>
      <c r="C48" s="2" t="s">
        <v>99</v>
      </c>
      <c r="D48" s="2" t="s">
        <v>100</v>
      </c>
      <c r="E48" s="5"/>
      <c r="F48" s="5">
        <v>1</v>
      </c>
      <c r="G48" s="5"/>
      <c r="H48" s="5">
        <v>0</v>
      </c>
      <c r="I48" s="5"/>
      <c r="J48" s="5">
        <v>0</v>
      </c>
      <c r="K48" s="5"/>
      <c r="L48" s="5">
        <v>0</v>
      </c>
      <c r="M48" s="5"/>
      <c r="N48" s="5">
        <v>0</v>
      </c>
      <c r="O48" s="5"/>
      <c r="P48" s="5">
        <v>0</v>
      </c>
      <c r="Q48" s="5"/>
      <c r="R48" s="5">
        <v>0</v>
      </c>
      <c r="S48" s="4">
        <f>SUM(Identifier!$F48:$R48)</f>
        <v>1</v>
      </c>
    </row>
    <row r="49" spans="1:19" ht="13.2" x14ac:dyDescent="0.25">
      <c r="B49" s="3" t="s">
        <v>52</v>
      </c>
      <c r="C49" s="2" t="s">
        <v>99</v>
      </c>
      <c r="D49" s="2" t="s">
        <v>101</v>
      </c>
      <c r="E49" s="5"/>
      <c r="F49" s="5">
        <v>0</v>
      </c>
      <c r="G49" s="5"/>
      <c r="H49" s="5">
        <v>0</v>
      </c>
      <c r="I49" s="5"/>
      <c r="J49" s="5">
        <v>1</v>
      </c>
      <c r="K49" s="5"/>
      <c r="L49" s="5">
        <v>1</v>
      </c>
      <c r="M49" s="5"/>
      <c r="N49" s="5">
        <v>1</v>
      </c>
      <c r="O49" s="5"/>
      <c r="P49" s="5">
        <v>0</v>
      </c>
      <c r="Q49" s="5"/>
      <c r="R49" s="5">
        <v>0</v>
      </c>
      <c r="S49" s="4">
        <f>SUM(Identifier!$F49:$R49)</f>
        <v>3</v>
      </c>
    </row>
    <row r="50" spans="1:19" ht="13.2" x14ac:dyDescent="0.25">
      <c r="B50" s="3" t="s">
        <v>52</v>
      </c>
      <c r="C50" s="2" t="s">
        <v>99</v>
      </c>
      <c r="D50" s="2" t="s">
        <v>102</v>
      </c>
      <c r="E50" s="5"/>
      <c r="F50" s="5">
        <v>0</v>
      </c>
      <c r="G50" s="5"/>
      <c r="H50" s="5">
        <v>0</v>
      </c>
      <c r="I50" s="5"/>
      <c r="J50" s="5">
        <v>0</v>
      </c>
      <c r="K50" s="5"/>
      <c r="L50" s="5">
        <v>0</v>
      </c>
      <c r="M50" s="5"/>
      <c r="N50" s="5">
        <v>0</v>
      </c>
      <c r="O50" s="5"/>
      <c r="P50" s="5">
        <v>1</v>
      </c>
      <c r="Q50" s="5"/>
      <c r="R50" s="5">
        <v>0</v>
      </c>
      <c r="S50" s="4">
        <f>SUM(Identifier!$F50:$R50)</f>
        <v>1</v>
      </c>
    </row>
    <row r="51" spans="1:19" ht="13.2" x14ac:dyDescent="0.25">
      <c r="B51" s="3" t="s">
        <v>52</v>
      </c>
      <c r="C51" s="2" t="s">
        <v>99</v>
      </c>
      <c r="D51" s="2" t="s">
        <v>103</v>
      </c>
      <c r="E51" s="5"/>
      <c r="F51" s="5">
        <v>0</v>
      </c>
      <c r="G51" s="5"/>
      <c r="H51" s="5">
        <v>0</v>
      </c>
      <c r="I51" s="5"/>
      <c r="J51" s="5">
        <v>0</v>
      </c>
      <c r="K51" s="5"/>
      <c r="L51" s="5">
        <v>0</v>
      </c>
      <c r="M51" s="5"/>
      <c r="N51" s="5">
        <v>0</v>
      </c>
      <c r="O51" s="5"/>
      <c r="P51" s="5">
        <v>0</v>
      </c>
      <c r="Q51" s="5"/>
      <c r="R51" s="5">
        <v>1</v>
      </c>
      <c r="S51" s="4">
        <f>SUM(Identifier!$F51:$R51)</f>
        <v>1</v>
      </c>
    </row>
    <row r="52" spans="1:19" ht="13.2" x14ac:dyDescent="0.25">
      <c r="A52" s="7"/>
      <c r="B52" s="3" t="s">
        <v>104</v>
      </c>
      <c r="C52" s="2" t="s">
        <v>105</v>
      </c>
      <c r="D52" s="2" t="s">
        <v>106</v>
      </c>
      <c r="E52" s="5"/>
      <c r="F52" s="5">
        <v>1</v>
      </c>
      <c r="G52" s="5"/>
      <c r="H52" s="5">
        <v>0</v>
      </c>
      <c r="I52" s="5"/>
      <c r="J52" s="5">
        <v>0</v>
      </c>
      <c r="K52" s="5"/>
      <c r="L52" s="5">
        <v>0</v>
      </c>
      <c r="M52" s="5"/>
      <c r="N52" s="5">
        <v>0</v>
      </c>
      <c r="O52" s="5"/>
      <c r="P52" s="5">
        <v>0</v>
      </c>
      <c r="Q52" s="5"/>
      <c r="R52" s="5">
        <v>0</v>
      </c>
      <c r="S52" s="4">
        <f>SUM(Identifier!$F52:$R52)</f>
        <v>1</v>
      </c>
    </row>
    <row r="53" spans="1:19" ht="13.2" x14ac:dyDescent="0.25">
      <c r="A53" s="7"/>
      <c r="B53" s="3" t="s">
        <v>104</v>
      </c>
      <c r="C53" s="2" t="s">
        <v>105</v>
      </c>
      <c r="D53" s="2" t="s">
        <v>107</v>
      </c>
      <c r="E53" s="5"/>
      <c r="F53" s="5">
        <v>0</v>
      </c>
      <c r="G53" s="5"/>
      <c r="H53" s="5">
        <v>1</v>
      </c>
      <c r="I53" s="5"/>
      <c r="J53" s="5">
        <v>1</v>
      </c>
      <c r="K53" s="5"/>
      <c r="L53" s="5">
        <v>1</v>
      </c>
      <c r="M53" s="5"/>
      <c r="N53" s="5">
        <v>1</v>
      </c>
      <c r="O53" s="5"/>
      <c r="P53" s="5">
        <v>1</v>
      </c>
      <c r="Q53" s="5"/>
      <c r="R53" s="5">
        <v>1</v>
      </c>
      <c r="S53" s="4">
        <f>SUM(Identifier!$F53:$R53)</f>
        <v>6</v>
      </c>
    </row>
    <row r="54" spans="1:19" ht="13.2" x14ac:dyDescent="0.25">
      <c r="A54" s="7"/>
      <c r="B54" s="3" t="s">
        <v>104</v>
      </c>
      <c r="C54" s="2" t="s">
        <v>108</v>
      </c>
      <c r="D54" s="2" t="s">
        <v>109</v>
      </c>
      <c r="E54" s="5"/>
      <c r="F54" s="5">
        <v>0</v>
      </c>
      <c r="G54" s="5"/>
      <c r="H54" s="5">
        <v>1</v>
      </c>
      <c r="I54" s="5"/>
      <c r="J54" s="5">
        <v>1</v>
      </c>
      <c r="K54" s="5"/>
      <c r="L54" s="5">
        <v>1</v>
      </c>
      <c r="M54" s="5"/>
      <c r="N54" s="5">
        <v>1</v>
      </c>
      <c r="O54" s="5"/>
      <c r="P54" s="5">
        <v>0</v>
      </c>
      <c r="Q54" s="5"/>
      <c r="R54" s="5">
        <v>1</v>
      </c>
      <c r="S54" s="4">
        <f>SUM(Identifier!$F54:$R54)</f>
        <v>5</v>
      </c>
    </row>
    <row r="55" spans="1:19" ht="13.2" x14ac:dyDescent="0.25">
      <c r="A55" s="7"/>
      <c r="B55" s="3" t="s">
        <v>104</v>
      </c>
      <c r="C55" s="2" t="s">
        <v>108</v>
      </c>
      <c r="D55" s="2" t="s">
        <v>110</v>
      </c>
      <c r="E55" s="5"/>
      <c r="F55" s="5">
        <v>1</v>
      </c>
      <c r="G55" s="5"/>
      <c r="H55" s="5">
        <v>0</v>
      </c>
      <c r="I55" s="5"/>
      <c r="J55" s="5">
        <v>0</v>
      </c>
      <c r="K55" s="5"/>
      <c r="L55" s="5">
        <v>0</v>
      </c>
      <c r="M55" s="5"/>
      <c r="N55" s="5">
        <v>0</v>
      </c>
      <c r="O55" s="5"/>
      <c r="P55" s="5">
        <v>0</v>
      </c>
      <c r="Q55" s="5"/>
      <c r="R55" s="5">
        <v>0</v>
      </c>
      <c r="S55" s="4">
        <f>SUM(Identifier!$F55:$R55)</f>
        <v>1</v>
      </c>
    </row>
    <row r="56" spans="1:19" ht="13.2" x14ac:dyDescent="0.25">
      <c r="A56" s="7"/>
      <c r="B56" s="3" t="s">
        <v>104</v>
      </c>
      <c r="C56" s="2" t="s">
        <v>108</v>
      </c>
      <c r="D56" s="2" t="s">
        <v>111</v>
      </c>
      <c r="E56" s="5"/>
      <c r="F56" s="5">
        <v>0</v>
      </c>
      <c r="G56" s="5"/>
      <c r="H56" s="5">
        <v>0</v>
      </c>
      <c r="I56" s="5"/>
      <c r="J56" s="5">
        <v>0</v>
      </c>
      <c r="K56" s="5"/>
      <c r="L56" s="5">
        <v>0</v>
      </c>
      <c r="M56" s="5"/>
      <c r="N56" s="5">
        <v>0</v>
      </c>
      <c r="O56" s="5"/>
      <c r="P56" s="5">
        <v>1</v>
      </c>
      <c r="Q56" s="5"/>
      <c r="R56" s="5">
        <v>0</v>
      </c>
      <c r="S56" s="4">
        <f>SUM(Identifier!$F56:$R56)</f>
        <v>1</v>
      </c>
    </row>
    <row r="57" spans="1:19" ht="13.2" x14ac:dyDescent="0.25">
      <c r="A57" s="7"/>
      <c r="B57" s="3" t="s">
        <v>104</v>
      </c>
      <c r="C57" s="2" t="s">
        <v>112</v>
      </c>
      <c r="D57" s="2" t="s">
        <v>113</v>
      </c>
      <c r="E57" s="5"/>
      <c r="F57" s="5">
        <v>1</v>
      </c>
      <c r="G57" s="5"/>
      <c r="H57" s="5">
        <v>0</v>
      </c>
      <c r="I57" s="5"/>
      <c r="J57" s="5">
        <v>0</v>
      </c>
      <c r="K57" s="5"/>
      <c r="L57" s="5">
        <v>0</v>
      </c>
      <c r="M57" s="5"/>
      <c r="N57" s="5">
        <v>0</v>
      </c>
      <c r="O57" s="5"/>
      <c r="P57" s="5">
        <v>0</v>
      </c>
      <c r="Q57" s="5"/>
      <c r="R57" s="5">
        <v>0</v>
      </c>
      <c r="S57" s="4">
        <f>SUM(Identifier!$F57:$R57)</f>
        <v>1</v>
      </c>
    </row>
    <row r="58" spans="1:19" ht="13.2" x14ac:dyDescent="0.25">
      <c r="A58" s="7"/>
      <c r="B58" s="3" t="s">
        <v>104</v>
      </c>
      <c r="C58" s="2" t="s">
        <v>112</v>
      </c>
      <c r="D58" s="2" t="s">
        <v>114</v>
      </c>
      <c r="E58" s="5"/>
      <c r="F58" s="5">
        <v>0</v>
      </c>
      <c r="G58" s="5"/>
      <c r="H58" s="5">
        <v>1</v>
      </c>
      <c r="I58" s="5"/>
      <c r="J58" s="5">
        <v>0</v>
      </c>
      <c r="K58" s="5"/>
      <c r="L58" s="5">
        <v>0</v>
      </c>
      <c r="M58" s="5"/>
      <c r="N58" s="5">
        <v>0</v>
      </c>
      <c r="O58" s="5"/>
      <c r="P58" s="5">
        <v>0</v>
      </c>
      <c r="Q58" s="5"/>
      <c r="R58" s="5">
        <v>0</v>
      </c>
      <c r="S58" s="4">
        <f>SUM(Identifier!$F58:$R58)</f>
        <v>1</v>
      </c>
    </row>
    <row r="59" spans="1:19" ht="13.2" x14ac:dyDescent="0.25">
      <c r="A59" s="7"/>
      <c r="B59" s="3" t="s">
        <v>104</v>
      </c>
      <c r="C59" s="2" t="s">
        <v>112</v>
      </c>
      <c r="D59" s="2" t="s">
        <v>115</v>
      </c>
      <c r="E59" s="5"/>
      <c r="F59" s="5">
        <v>0</v>
      </c>
      <c r="G59" s="5"/>
      <c r="H59" s="5">
        <v>0</v>
      </c>
      <c r="I59" s="5"/>
      <c r="J59" s="5">
        <v>1</v>
      </c>
      <c r="K59" s="5"/>
      <c r="L59" s="5">
        <v>1</v>
      </c>
      <c r="M59" s="5"/>
      <c r="N59" s="5">
        <v>1</v>
      </c>
      <c r="O59" s="5"/>
      <c r="P59" s="5">
        <v>1</v>
      </c>
      <c r="Q59" s="5"/>
      <c r="R59" s="5">
        <v>1</v>
      </c>
      <c r="S59" s="4">
        <f>SUM(Identifier!$F59:$R59)</f>
        <v>5</v>
      </c>
    </row>
    <row r="60" spans="1:19" ht="13.2" x14ac:dyDescent="0.25">
      <c r="A60" s="7"/>
      <c r="B60" s="3" t="s">
        <v>104</v>
      </c>
      <c r="C60" s="2" t="s">
        <v>116</v>
      </c>
      <c r="D60" s="2" t="s">
        <v>117</v>
      </c>
      <c r="E60" s="5"/>
      <c r="F60" s="5">
        <v>0</v>
      </c>
      <c r="G60" s="5"/>
      <c r="H60" s="5">
        <v>0</v>
      </c>
      <c r="I60" s="5"/>
      <c r="J60" s="5">
        <v>1</v>
      </c>
      <c r="K60" s="5"/>
      <c r="L60" s="5">
        <v>1</v>
      </c>
      <c r="M60" s="5"/>
      <c r="N60" s="5">
        <v>1</v>
      </c>
      <c r="O60" s="5"/>
      <c r="P60" s="5">
        <v>1</v>
      </c>
      <c r="Q60" s="5"/>
      <c r="R60" s="5">
        <v>0</v>
      </c>
      <c r="S60" s="4">
        <f>SUM(Identifier!$F60:$R60)</f>
        <v>4</v>
      </c>
    </row>
    <row r="61" spans="1:19" ht="13.2" x14ac:dyDescent="0.25">
      <c r="A61" s="7"/>
      <c r="B61" s="3" t="s">
        <v>104</v>
      </c>
      <c r="C61" s="2" t="s">
        <v>118</v>
      </c>
      <c r="D61" s="2" t="s">
        <v>119</v>
      </c>
      <c r="E61" s="5"/>
      <c r="F61" s="5">
        <v>1</v>
      </c>
      <c r="G61" s="5"/>
      <c r="H61" s="5">
        <v>1</v>
      </c>
      <c r="I61" s="5"/>
      <c r="J61" s="5">
        <v>0</v>
      </c>
      <c r="K61" s="5"/>
      <c r="L61" s="5">
        <v>0</v>
      </c>
      <c r="M61" s="5"/>
      <c r="N61" s="5">
        <v>0</v>
      </c>
      <c r="O61" s="5"/>
      <c r="P61" s="5">
        <v>0</v>
      </c>
      <c r="Q61" s="5"/>
      <c r="R61" s="5">
        <v>1</v>
      </c>
      <c r="S61" s="4">
        <f>SUM(Identifier!$F61:$R61)</f>
        <v>3</v>
      </c>
    </row>
    <row r="62" spans="1:19" ht="13.2" x14ac:dyDescent="0.25">
      <c r="A62" s="7"/>
      <c r="B62" s="3" t="s">
        <v>104</v>
      </c>
      <c r="C62" s="2" t="s">
        <v>120</v>
      </c>
      <c r="D62" s="2" t="s">
        <v>121</v>
      </c>
      <c r="E62" s="5"/>
      <c r="F62" s="5">
        <v>0</v>
      </c>
      <c r="G62" s="5"/>
      <c r="H62" s="5">
        <v>1</v>
      </c>
      <c r="I62" s="5"/>
      <c r="J62" s="5">
        <v>0</v>
      </c>
      <c r="K62" s="5"/>
      <c r="L62" s="5">
        <v>0</v>
      </c>
      <c r="M62" s="5"/>
      <c r="N62" s="5">
        <v>0</v>
      </c>
      <c r="O62" s="5"/>
      <c r="P62" s="5">
        <v>0</v>
      </c>
      <c r="Q62" s="5"/>
      <c r="R62" s="5">
        <v>1</v>
      </c>
      <c r="S62" s="4">
        <f>SUM(Identifier!$F62:$R62)</f>
        <v>2</v>
      </c>
    </row>
    <row r="63" spans="1:19" ht="13.2" x14ac:dyDescent="0.25">
      <c r="A63" s="7"/>
      <c r="B63" s="3" t="s">
        <v>104</v>
      </c>
      <c r="C63" s="2" t="s">
        <v>122</v>
      </c>
      <c r="D63" s="2" t="s">
        <v>123</v>
      </c>
      <c r="E63" s="5"/>
      <c r="F63" s="5">
        <v>0</v>
      </c>
      <c r="G63" s="5"/>
      <c r="H63" s="5">
        <v>1</v>
      </c>
      <c r="I63" s="5"/>
      <c r="J63" s="5">
        <v>0</v>
      </c>
      <c r="K63" s="5"/>
      <c r="L63" s="5">
        <v>0</v>
      </c>
      <c r="M63" s="5"/>
      <c r="N63" s="5">
        <v>0</v>
      </c>
      <c r="O63" s="5"/>
      <c r="P63" s="5">
        <v>0</v>
      </c>
      <c r="Q63" s="5"/>
      <c r="R63" s="5">
        <v>0</v>
      </c>
      <c r="S63" s="4">
        <f>SUM(Identifier!$F63:$R63)</f>
        <v>1</v>
      </c>
    </row>
    <row r="64" spans="1:19" ht="13.2" x14ac:dyDescent="0.25">
      <c r="A64" s="7"/>
      <c r="B64" s="3" t="s">
        <v>104</v>
      </c>
      <c r="C64" s="2" t="s">
        <v>124</v>
      </c>
      <c r="D64" s="2" t="s">
        <v>125</v>
      </c>
      <c r="E64" s="5"/>
      <c r="F64" s="5">
        <v>1</v>
      </c>
      <c r="G64" s="5"/>
      <c r="H64" s="5">
        <v>0</v>
      </c>
      <c r="I64" s="5"/>
      <c r="J64" s="5">
        <v>0</v>
      </c>
      <c r="K64" s="5"/>
      <c r="L64" s="5">
        <v>0</v>
      </c>
      <c r="M64" s="5"/>
      <c r="N64" s="5">
        <v>0</v>
      </c>
      <c r="O64" s="5"/>
      <c r="P64" s="5">
        <v>0</v>
      </c>
      <c r="Q64" s="5"/>
      <c r="R64" s="5">
        <v>0</v>
      </c>
      <c r="S64" s="4">
        <f>SUM(Identifier!$F64:$R64)</f>
        <v>1</v>
      </c>
    </row>
    <row r="65" spans="1:19" ht="13.2" x14ac:dyDescent="0.25">
      <c r="A65" s="7"/>
      <c r="B65" s="3" t="s">
        <v>104</v>
      </c>
      <c r="C65" s="2" t="s">
        <v>126</v>
      </c>
      <c r="D65" s="2" t="s">
        <v>127</v>
      </c>
      <c r="E65" s="5"/>
      <c r="F65" s="5">
        <v>0</v>
      </c>
      <c r="G65" s="5"/>
      <c r="H65" s="5">
        <v>0</v>
      </c>
      <c r="I65" s="5"/>
      <c r="J65" s="5">
        <v>1</v>
      </c>
      <c r="K65" s="5"/>
      <c r="L65" s="5">
        <v>1</v>
      </c>
      <c r="M65" s="5"/>
      <c r="N65" s="5">
        <v>1</v>
      </c>
      <c r="O65" s="5"/>
      <c r="P65" s="5">
        <v>1</v>
      </c>
      <c r="Q65" s="5"/>
      <c r="R65" s="5">
        <v>0</v>
      </c>
      <c r="S65" s="4">
        <f>SUM(Identifier!$F65:$R65)</f>
        <v>4</v>
      </c>
    </row>
    <row r="66" spans="1:19" ht="13.2" x14ac:dyDescent="0.25">
      <c r="A66" s="7"/>
      <c r="B66" s="3" t="s">
        <v>104</v>
      </c>
      <c r="C66" s="2" t="s">
        <v>128</v>
      </c>
      <c r="D66" s="2" t="s">
        <v>129</v>
      </c>
      <c r="E66" s="5"/>
      <c r="F66" s="5">
        <v>1</v>
      </c>
      <c r="G66" s="5"/>
      <c r="H66" s="5">
        <v>1</v>
      </c>
      <c r="I66" s="5"/>
      <c r="J66" s="5">
        <v>0</v>
      </c>
      <c r="K66" s="5"/>
      <c r="L66" s="5">
        <v>0</v>
      </c>
      <c r="M66" s="5"/>
      <c r="N66" s="5">
        <v>0</v>
      </c>
      <c r="O66" s="5"/>
      <c r="P66" s="5">
        <v>0</v>
      </c>
      <c r="Q66" s="5"/>
      <c r="R66" s="5">
        <v>1</v>
      </c>
      <c r="S66" s="4">
        <f>SUM(Identifier!$F66:$R66)</f>
        <v>3</v>
      </c>
    </row>
    <row r="67" spans="1:19" ht="13.2" x14ac:dyDescent="0.25">
      <c r="A67" s="7"/>
      <c r="B67" s="3" t="s">
        <v>104</v>
      </c>
      <c r="C67" s="2" t="s">
        <v>130</v>
      </c>
      <c r="D67" s="2" t="s">
        <v>131</v>
      </c>
      <c r="E67" s="5"/>
      <c r="F67" s="5">
        <v>0</v>
      </c>
      <c r="G67" s="5"/>
      <c r="H67" s="5">
        <v>1</v>
      </c>
      <c r="I67" s="5"/>
      <c r="J67" s="5">
        <v>0</v>
      </c>
      <c r="K67" s="5"/>
      <c r="L67" s="5">
        <v>0</v>
      </c>
      <c r="M67" s="5"/>
      <c r="N67" s="5">
        <v>0</v>
      </c>
      <c r="O67" s="5"/>
      <c r="P67" s="5">
        <v>0</v>
      </c>
      <c r="Q67" s="5"/>
      <c r="R67" s="5">
        <v>1</v>
      </c>
      <c r="S67" s="4">
        <f>SUM(Identifier!$F67:$R67)</f>
        <v>2</v>
      </c>
    </row>
    <row r="68" spans="1:19" ht="13.2" x14ac:dyDescent="0.25">
      <c r="A68" s="7"/>
      <c r="B68" s="3" t="s">
        <v>104</v>
      </c>
      <c r="C68" s="2" t="s">
        <v>132</v>
      </c>
      <c r="D68" s="2" t="s">
        <v>133</v>
      </c>
      <c r="E68" s="5"/>
      <c r="F68" s="5">
        <v>1</v>
      </c>
      <c r="G68" s="5"/>
      <c r="H68" s="5">
        <v>0</v>
      </c>
      <c r="I68" s="5"/>
      <c r="J68" s="5">
        <v>0</v>
      </c>
      <c r="K68" s="5"/>
      <c r="L68" s="5">
        <v>0</v>
      </c>
      <c r="M68" s="5"/>
      <c r="N68" s="5">
        <v>0</v>
      </c>
      <c r="O68" s="5"/>
      <c r="P68" s="5">
        <v>0</v>
      </c>
      <c r="Q68" s="5"/>
      <c r="R68" s="5">
        <v>0</v>
      </c>
      <c r="S68" s="4">
        <f>SUM(Identifier!$F68:$R68)</f>
        <v>1</v>
      </c>
    </row>
    <row r="69" spans="1:19" ht="13.2" x14ac:dyDescent="0.25">
      <c r="A69" s="7"/>
      <c r="B69" s="3" t="s">
        <v>104</v>
      </c>
      <c r="C69" s="2" t="s">
        <v>134</v>
      </c>
      <c r="D69" s="2" t="s">
        <v>135</v>
      </c>
      <c r="E69" s="5"/>
      <c r="F69" s="5">
        <v>0</v>
      </c>
      <c r="G69" s="5"/>
      <c r="H69" s="5">
        <v>0</v>
      </c>
      <c r="I69" s="5"/>
      <c r="J69" s="5">
        <v>1</v>
      </c>
      <c r="K69" s="5"/>
      <c r="L69" s="5">
        <v>1</v>
      </c>
      <c r="M69" s="5"/>
      <c r="N69" s="5">
        <v>1</v>
      </c>
      <c r="O69" s="5"/>
      <c r="P69" s="5">
        <v>1</v>
      </c>
      <c r="Q69" s="5"/>
      <c r="R69" s="5">
        <v>0</v>
      </c>
      <c r="S69" s="4">
        <f>SUM(Identifier!$F69:$R69)</f>
        <v>4</v>
      </c>
    </row>
    <row r="70" spans="1:19" ht="13.2" x14ac:dyDescent="0.25">
      <c r="A70" s="7"/>
      <c r="B70" s="3" t="s">
        <v>104</v>
      </c>
      <c r="C70" s="2" t="s">
        <v>136</v>
      </c>
      <c r="D70" s="2" t="s">
        <v>137</v>
      </c>
      <c r="E70" s="5"/>
      <c r="F70" s="5">
        <v>0</v>
      </c>
      <c r="G70" s="5"/>
      <c r="H70" s="5">
        <v>1</v>
      </c>
      <c r="I70" s="5"/>
      <c r="J70" s="5">
        <v>0</v>
      </c>
      <c r="K70" s="5"/>
      <c r="L70" s="5">
        <v>0</v>
      </c>
      <c r="M70" s="5"/>
      <c r="N70" s="5">
        <v>0</v>
      </c>
      <c r="O70" s="5"/>
      <c r="P70" s="5">
        <v>0</v>
      </c>
      <c r="Q70" s="5"/>
      <c r="R70" s="5">
        <v>0</v>
      </c>
      <c r="S70" s="4">
        <f>SUM(Identifier!$F70:$R70)</f>
        <v>1</v>
      </c>
    </row>
    <row r="71" spans="1:19" ht="13.2" x14ac:dyDescent="0.25">
      <c r="A71" s="7"/>
      <c r="B71" s="3" t="s">
        <v>104</v>
      </c>
      <c r="C71" s="2" t="s">
        <v>136</v>
      </c>
      <c r="D71" s="2" t="s">
        <v>138</v>
      </c>
      <c r="E71" s="5"/>
      <c r="F71" s="5">
        <v>0</v>
      </c>
      <c r="G71" s="5"/>
      <c r="H71" s="5">
        <v>0</v>
      </c>
      <c r="I71" s="5"/>
      <c r="J71" s="5">
        <v>0</v>
      </c>
      <c r="K71" s="5"/>
      <c r="L71" s="5">
        <v>0</v>
      </c>
      <c r="M71" s="5"/>
      <c r="N71" s="5">
        <v>0</v>
      </c>
      <c r="O71" s="5"/>
      <c r="P71" s="5">
        <v>0</v>
      </c>
      <c r="Q71" s="5"/>
      <c r="R71" s="5">
        <v>1</v>
      </c>
      <c r="S71" s="4">
        <f>SUM(Identifier!$F71:$R71)</f>
        <v>1</v>
      </c>
    </row>
    <row r="72" spans="1:19" ht="13.2" x14ac:dyDescent="0.25">
      <c r="A72" s="7"/>
      <c r="B72" s="3" t="s">
        <v>104</v>
      </c>
      <c r="C72" s="2" t="s">
        <v>139</v>
      </c>
      <c r="D72" s="2" t="s">
        <v>140</v>
      </c>
      <c r="E72" s="5"/>
      <c r="F72" s="5">
        <v>1</v>
      </c>
      <c r="G72" s="5"/>
      <c r="H72" s="5">
        <v>0</v>
      </c>
      <c r="I72" s="5"/>
      <c r="J72" s="5">
        <v>0</v>
      </c>
      <c r="K72" s="5"/>
      <c r="L72" s="5">
        <v>0</v>
      </c>
      <c r="M72" s="5"/>
      <c r="N72" s="5">
        <v>0</v>
      </c>
      <c r="O72" s="5"/>
      <c r="P72" s="5">
        <v>0</v>
      </c>
      <c r="Q72" s="5"/>
      <c r="R72" s="5">
        <v>0</v>
      </c>
      <c r="S72" s="4">
        <f>SUM(Identifier!$F72:$R72)</f>
        <v>1</v>
      </c>
    </row>
    <row r="73" spans="1:19" ht="13.2" x14ac:dyDescent="0.25">
      <c r="A73" s="7"/>
      <c r="B73" s="3" t="s">
        <v>104</v>
      </c>
      <c r="C73" s="2" t="s">
        <v>139</v>
      </c>
      <c r="D73" s="2" t="s">
        <v>141</v>
      </c>
      <c r="E73" s="5"/>
      <c r="F73" s="5">
        <v>0</v>
      </c>
      <c r="G73" s="5"/>
      <c r="H73" s="5">
        <v>0</v>
      </c>
      <c r="I73" s="5"/>
      <c r="J73" s="5">
        <v>0</v>
      </c>
      <c r="K73" s="5"/>
      <c r="L73" s="5">
        <v>0</v>
      </c>
      <c r="M73" s="5"/>
      <c r="N73" s="5">
        <v>0</v>
      </c>
      <c r="O73" s="5"/>
      <c r="P73" s="5">
        <v>1</v>
      </c>
      <c r="Q73" s="5"/>
      <c r="R73" s="5">
        <v>0</v>
      </c>
      <c r="S73" s="4">
        <f>SUM(Identifier!$F73:$R73)</f>
        <v>1</v>
      </c>
    </row>
    <row r="74" spans="1:19" ht="13.2" x14ac:dyDescent="0.25">
      <c r="A74" s="7"/>
      <c r="B74" s="3" t="s">
        <v>104</v>
      </c>
      <c r="C74" s="2" t="s">
        <v>142</v>
      </c>
      <c r="D74" s="2" t="s">
        <v>143</v>
      </c>
      <c r="E74" s="5"/>
      <c r="F74" s="5">
        <v>1</v>
      </c>
      <c r="G74" s="5"/>
      <c r="H74" s="5">
        <v>0</v>
      </c>
      <c r="I74" s="5"/>
      <c r="J74" s="5">
        <v>0</v>
      </c>
      <c r="K74" s="5"/>
      <c r="L74" s="5">
        <v>0</v>
      </c>
      <c r="M74" s="5"/>
      <c r="N74" s="5">
        <v>0</v>
      </c>
      <c r="O74" s="5"/>
      <c r="P74" s="5">
        <v>0</v>
      </c>
      <c r="Q74" s="5"/>
      <c r="R74" s="5">
        <v>0</v>
      </c>
      <c r="S74" s="4">
        <f>SUM(Identifier!$F74:$R74)</f>
        <v>1</v>
      </c>
    </row>
    <row r="75" spans="1:19" ht="13.2" x14ac:dyDescent="0.25">
      <c r="A75" s="7"/>
      <c r="B75" s="3" t="s">
        <v>104</v>
      </c>
      <c r="C75" s="2" t="s">
        <v>144</v>
      </c>
      <c r="D75" s="2" t="s">
        <v>145</v>
      </c>
      <c r="E75" s="5"/>
      <c r="F75" s="5">
        <v>0</v>
      </c>
      <c r="G75" s="5"/>
      <c r="H75" s="5">
        <v>0</v>
      </c>
      <c r="I75" s="5"/>
      <c r="J75" s="5">
        <v>0</v>
      </c>
      <c r="K75" s="5"/>
      <c r="L75" s="5">
        <v>0</v>
      </c>
      <c r="M75" s="5"/>
      <c r="N75" s="5">
        <v>0</v>
      </c>
      <c r="O75" s="5"/>
      <c r="P75" s="5">
        <v>1</v>
      </c>
      <c r="Q75" s="5"/>
      <c r="R75" s="5">
        <v>1</v>
      </c>
      <c r="S75" s="4">
        <f>SUM(Identifier!$F75:$R75)</f>
        <v>2</v>
      </c>
    </row>
    <row r="76" spans="1:19" ht="13.2" x14ac:dyDescent="0.25">
      <c r="A76" s="7"/>
      <c r="B76" s="3" t="s">
        <v>104</v>
      </c>
      <c r="C76" s="2" t="s">
        <v>146</v>
      </c>
      <c r="D76" s="2" t="s">
        <v>147</v>
      </c>
      <c r="E76" s="5"/>
      <c r="F76" s="5">
        <v>0</v>
      </c>
      <c r="G76" s="5"/>
      <c r="H76" s="5">
        <v>0</v>
      </c>
      <c r="I76" s="5"/>
      <c r="J76" s="5">
        <v>0</v>
      </c>
      <c r="K76" s="5"/>
      <c r="L76" s="5">
        <v>0</v>
      </c>
      <c r="M76" s="5"/>
      <c r="N76" s="5">
        <v>0</v>
      </c>
      <c r="O76" s="5"/>
      <c r="P76" s="5">
        <v>0</v>
      </c>
      <c r="Q76" s="5"/>
      <c r="R76" s="5">
        <v>1</v>
      </c>
      <c r="S76" s="4">
        <f>SUM(Identifier!$F76:$R76)</f>
        <v>1</v>
      </c>
    </row>
    <row r="77" spans="1:19" ht="13.2" x14ac:dyDescent="0.25">
      <c r="A77" s="7"/>
      <c r="B77" s="3" t="s">
        <v>104</v>
      </c>
      <c r="C77" s="2" t="s">
        <v>148</v>
      </c>
      <c r="D77" s="2" t="s">
        <v>149</v>
      </c>
      <c r="E77" s="5"/>
      <c r="F77" s="5">
        <v>1</v>
      </c>
      <c r="G77" s="5"/>
      <c r="H77" s="5">
        <v>0</v>
      </c>
      <c r="I77" s="5"/>
      <c r="J77" s="5">
        <v>0</v>
      </c>
      <c r="K77" s="5"/>
      <c r="L77" s="5">
        <v>0</v>
      </c>
      <c r="M77" s="5"/>
      <c r="N77" s="5">
        <v>0</v>
      </c>
      <c r="O77" s="5"/>
      <c r="P77" s="5">
        <v>0</v>
      </c>
      <c r="Q77" s="5"/>
      <c r="R77" s="5">
        <v>0</v>
      </c>
      <c r="S77" s="4">
        <f>SUM(Identifier!$F77:$R77)</f>
        <v>1</v>
      </c>
    </row>
    <row r="78" spans="1:19" ht="13.2" x14ac:dyDescent="0.25">
      <c r="A78" s="7"/>
      <c r="B78" s="3" t="s">
        <v>104</v>
      </c>
      <c r="C78" s="2" t="s">
        <v>150</v>
      </c>
      <c r="D78" s="2" t="s">
        <v>151</v>
      </c>
      <c r="E78" s="5"/>
      <c r="F78" s="5">
        <v>0</v>
      </c>
      <c r="G78" s="5"/>
      <c r="H78" s="5">
        <v>1</v>
      </c>
      <c r="I78" s="5"/>
      <c r="J78" s="5">
        <v>0</v>
      </c>
      <c r="K78" s="5"/>
      <c r="L78" s="5">
        <v>0</v>
      </c>
      <c r="M78" s="5"/>
      <c r="N78" s="5">
        <v>0</v>
      </c>
      <c r="O78" s="5"/>
      <c r="P78" s="5">
        <v>0</v>
      </c>
      <c r="Q78" s="5"/>
      <c r="R78" s="5">
        <v>0</v>
      </c>
      <c r="S78" s="4">
        <f>SUM(Identifier!$F78:$R78)</f>
        <v>1</v>
      </c>
    </row>
    <row r="79" spans="1:19" ht="13.2" x14ac:dyDescent="0.25">
      <c r="A79" s="7"/>
      <c r="B79" s="3" t="s">
        <v>104</v>
      </c>
      <c r="C79" s="2" t="s">
        <v>152</v>
      </c>
      <c r="D79" s="2" t="s">
        <v>153</v>
      </c>
      <c r="E79" s="5"/>
      <c r="F79" s="5">
        <v>0</v>
      </c>
      <c r="G79" s="5"/>
      <c r="H79" s="5">
        <v>0</v>
      </c>
      <c r="I79" s="5"/>
      <c r="J79" s="5">
        <v>0</v>
      </c>
      <c r="K79" s="5"/>
      <c r="L79" s="5">
        <v>0</v>
      </c>
      <c r="M79" s="5"/>
      <c r="N79" s="5">
        <v>0</v>
      </c>
      <c r="O79" s="5"/>
      <c r="P79" s="5">
        <v>0</v>
      </c>
      <c r="Q79" s="5"/>
      <c r="R79" s="5">
        <v>1</v>
      </c>
      <c r="S79" s="4">
        <f>SUM(Identifier!$F79:$R79)</f>
        <v>1</v>
      </c>
    </row>
    <row r="80" spans="1:19" ht="13.2" x14ac:dyDescent="0.25">
      <c r="A80" s="7"/>
      <c r="B80" s="3" t="s">
        <v>104</v>
      </c>
      <c r="C80" s="2" t="s">
        <v>154</v>
      </c>
      <c r="D80" s="2" t="s">
        <v>155</v>
      </c>
      <c r="E80" s="5"/>
      <c r="F80" s="5">
        <v>0</v>
      </c>
      <c r="G80" s="5"/>
      <c r="H80" s="5">
        <v>1</v>
      </c>
      <c r="I80" s="5"/>
      <c r="J80" s="5">
        <v>0</v>
      </c>
      <c r="K80" s="5"/>
      <c r="L80" s="5">
        <v>0</v>
      </c>
      <c r="M80" s="5"/>
      <c r="N80" s="5">
        <v>0</v>
      </c>
      <c r="O80" s="5"/>
      <c r="P80" s="5">
        <v>0</v>
      </c>
      <c r="Q80" s="5"/>
      <c r="R80" s="5">
        <v>0</v>
      </c>
      <c r="S80" s="4">
        <f>SUM(Identifier!$F80:$R80)</f>
        <v>1</v>
      </c>
    </row>
    <row r="81" spans="1:19" ht="13.2" x14ac:dyDescent="0.25">
      <c r="A81" s="7"/>
      <c r="B81" s="3" t="s">
        <v>104</v>
      </c>
      <c r="C81" s="2" t="s">
        <v>156</v>
      </c>
      <c r="D81" s="2" t="s">
        <v>157</v>
      </c>
      <c r="E81" s="5"/>
      <c r="F81" s="5">
        <v>1</v>
      </c>
      <c r="G81" s="5"/>
      <c r="H81" s="5">
        <v>0</v>
      </c>
      <c r="I81" s="5"/>
      <c r="J81" s="5">
        <v>0</v>
      </c>
      <c r="K81" s="5"/>
      <c r="L81" s="5">
        <v>0</v>
      </c>
      <c r="M81" s="5"/>
      <c r="N81" s="5">
        <v>0</v>
      </c>
      <c r="O81" s="5"/>
      <c r="P81" s="5">
        <v>0</v>
      </c>
      <c r="Q81" s="5"/>
      <c r="R81" s="5">
        <v>0</v>
      </c>
      <c r="S81" s="4">
        <f>SUM(Identifier!$F81:$R81)</f>
        <v>1</v>
      </c>
    </row>
    <row r="82" spans="1:19" ht="15" customHeight="1" x14ac:dyDescent="0.25">
      <c r="B82"/>
      <c r="C82"/>
    </row>
    <row r="83" spans="1:19" ht="15" customHeight="1" x14ac:dyDescent="0.25">
      <c r="B83"/>
      <c r="C83"/>
      <c r="D83"/>
    </row>
    <row r="84" spans="1:19" ht="15" customHeight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9" ht="15" customHeight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9" ht="15" customHeight="1" x14ac:dyDescent="0.25">
      <c r="B86"/>
      <c r="C86"/>
    </row>
    <row r="87" spans="1:19" ht="15" customHeight="1" x14ac:dyDescent="0.25">
      <c r="B87"/>
      <c r="C87"/>
    </row>
    <row r="88" spans="1:19" ht="15" customHeight="1" x14ac:dyDescent="0.25">
      <c r="B88"/>
      <c r="C88"/>
    </row>
    <row r="89" spans="1:19" ht="15" customHeight="1" x14ac:dyDescent="0.25">
      <c r="B89"/>
      <c r="C89"/>
    </row>
    <row r="90" spans="1:19" ht="15" customHeight="1" x14ac:dyDescent="0.25">
      <c r="B90"/>
      <c r="C90"/>
    </row>
    <row r="91" spans="1:19" ht="15" customHeight="1" x14ac:dyDescent="0.25">
      <c r="B91"/>
      <c r="C91"/>
    </row>
    <row r="92" spans="1:19" ht="15" customHeight="1" x14ac:dyDescent="0.25">
      <c r="B92"/>
      <c r="C92"/>
    </row>
    <row r="93" spans="1:19" ht="15" customHeight="1" x14ac:dyDescent="0.25">
      <c r="B93"/>
      <c r="C93"/>
    </row>
    <row r="94" spans="1:19" ht="15" customHeight="1" x14ac:dyDescent="0.25">
      <c r="B94"/>
      <c r="C94"/>
    </row>
    <row r="95" spans="1:19" ht="15" customHeight="1" x14ac:dyDescent="0.25">
      <c r="B95"/>
      <c r="C95"/>
    </row>
    <row r="96" spans="1:19" ht="15" customHeight="1" x14ac:dyDescent="0.25">
      <c r="B96"/>
      <c r="C96"/>
    </row>
    <row r="97" spans="2:3" ht="15" customHeight="1" x14ac:dyDescent="0.25">
      <c r="B97"/>
      <c r="C97"/>
    </row>
    <row r="98" spans="2:3" ht="15" customHeight="1" x14ac:dyDescent="0.25">
      <c r="B98"/>
      <c r="C98"/>
    </row>
    <row r="99" spans="2:3" ht="15" customHeight="1" x14ac:dyDescent="0.25">
      <c r="B99"/>
      <c r="C99"/>
    </row>
    <row r="100" spans="2:3" ht="15" customHeight="1" x14ac:dyDescent="0.25">
      <c r="B100"/>
      <c r="C100"/>
    </row>
    <row r="101" spans="2:3" ht="15" customHeight="1" x14ac:dyDescent="0.25">
      <c r="B101"/>
      <c r="C101"/>
    </row>
    <row r="102" spans="2:3" ht="15" customHeight="1" x14ac:dyDescent="0.25">
      <c r="B102"/>
      <c r="C102"/>
    </row>
    <row r="103" spans="2:3" ht="15" customHeight="1" x14ac:dyDescent="0.25">
      <c r="B103"/>
      <c r="C103"/>
    </row>
    <row r="104" spans="2:3" ht="15" customHeight="1" x14ac:dyDescent="0.25">
      <c r="B104"/>
      <c r="C104"/>
    </row>
    <row r="105" spans="2:3" ht="15" customHeight="1" x14ac:dyDescent="0.25">
      <c r="B105"/>
      <c r="C105"/>
    </row>
    <row r="106" spans="2:3" ht="15" customHeight="1" x14ac:dyDescent="0.25">
      <c r="B106"/>
      <c r="C106"/>
    </row>
    <row r="107" spans="2:3" ht="15" customHeight="1" x14ac:dyDescent="0.25">
      <c r="B107"/>
      <c r="C107"/>
    </row>
    <row r="108" spans="2:3" ht="15" customHeight="1" x14ac:dyDescent="0.25">
      <c r="B108"/>
      <c r="C108"/>
    </row>
    <row r="109" spans="2:3" ht="15" customHeight="1" x14ac:dyDescent="0.25">
      <c r="B109"/>
      <c r="C109"/>
    </row>
    <row r="110" spans="2:3" ht="15" customHeight="1" x14ac:dyDescent="0.25">
      <c r="B110"/>
      <c r="C110"/>
    </row>
    <row r="111" spans="2:3" ht="15" customHeight="1" x14ac:dyDescent="0.25">
      <c r="B111"/>
      <c r="C111"/>
    </row>
    <row r="112" spans="2:3" ht="15" customHeight="1" x14ac:dyDescent="0.25">
      <c r="B112"/>
      <c r="C112"/>
    </row>
    <row r="113" spans="2:15" ht="15" customHeight="1" x14ac:dyDescent="0.25">
      <c r="B113"/>
      <c r="C113"/>
      <c r="E113"/>
      <c r="F113"/>
      <c r="G113"/>
      <c r="H113"/>
      <c r="I113"/>
      <c r="J113"/>
      <c r="K113"/>
      <c r="L113"/>
      <c r="M113"/>
      <c r="N113"/>
      <c r="O113"/>
    </row>
    <row r="114" spans="2:15" ht="15" customHeight="1" x14ac:dyDescent="0.25">
      <c r="B114"/>
      <c r="C114"/>
      <c r="E114"/>
      <c r="F114"/>
      <c r="G114"/>
      <c r="H114"/>
      <c r="I114"/>
      <c r="J114"/>
      <c r="K114"/>
      <c r="L114"/>
      <c r="M114"/>
      <c r="N114"/>
      <c r="O114"/>
    </row>
    <row r="115" spans="2:15" ht="15" customHeight="1" x14ac:dyDescent="0.25">
      <c r="B115"/>
      <c r="C115"/>
      <c r="E115"/>
      <c r="F115"/>
      <c r="G115"/>
      <c r="H115"/>
      <c r="I115"/>
      <c r="J115"/>
      <c r="K115"/>
      <c r="L115"/>
      <c r="M115"/>
      <c r="N115"/>
      <c r="O115"/>
    </row>
    <row r="116" spans="2:15" ht="15" customHeight="1" x14ac:dyDescent="0.25">
      <c r="B116"/>
      <c r="C116"/>
      <c r="E116"/>
      <c r="F116"/>
      <c r="G116"/>
      <c r="H116"/>
      <c r="I116"/>
      <c r="J116"/>
      <c r="K116"/>
      <c r="L116"/>
      <c r="M116"/>
      <c r="N116"/>
      <c r="O116"/>
    </row>
    <row r="117" spans="2:15" ht="15" customHeight="1" x14ac:dyDescent="0.25">
      <c r="B117"/>
      <c r="C117"/>
      <c r="E117"/>
      <c r="F117"/>
      <c r="G117"/>
      <c r="H117"/>
      <c r="I117"/>
      <c r="J117"/>
      <c r="K117"/>
      <c r="L117"/>
      <c r="M117"/>
      <c r="N117"/>
      <c r="O117"/>
    </row>
    <row r="118" spans="2:15" ht="15" customHeight="1" x14ac:dyDescent="0.25">
      <c r="B118"/>
      <c r="C118"/>
      <c r="E118"/>
      <c r="F118"/>
      <c r="G118"/>
      <c r="H118"/>
      <c r="I118"/>
      <c r="J118"/>
      <c r="K118"/>
      <c r="L118"/>
      <c r="M118"/>
      <c r="N118"/>
      <c r="O118"/>
    </row>
    <row r="119" spans="2:15" ht="15" customHeight="1" x14ac:dyDescent="0.25">
      <c r="B119"/>
      <c r="C119"/>
      <c r="E119"/>
      <c r="F119"/>
      <c r="G119"/>
      <c r="H119"/>
      <c r="I119"/>
      <c r="J119"/>
      <c r="K119"/>
      <c r="L119"/>
      <c r="M119"/>
      <c r="N119"/>
      <c r="O119"/>
    </row>
    <row r="120" spans="2:15" ht="15" customHeight="1" x14ac:dyDescent="0.25">
      <c r="B120"/>
      <c r="C120"/>
      <c r="E120"/>
      <c r="F120"/>
      <c r="G120"/>
      <c r="H120"/>
      <c r="I120"/>
      <c r="J120"/>
      <c r="K120"/>
      <c r="L120"/>
      <c r="M120"/>
      <c r="N120"/>
      <c r="O120"/>
    </row>
    <row r="121" spans="2:15" ht="15" customHeight="1" x14ac:dyDescent="0.25">
      <c r="B121"/>
      <c r="C121"/>
      <c r="E121"/>
      <c r="F121"/>
      <c r="G121"/>
      <c r="H121"/>
      <c r="I121"/>
      <c r="J121"/>
      <c r="K121"/>
      <c r="L121"/>
      <c r="M121"/>
      <c r="N121"/>
      <c r="O121"/>
    </row>
    <row r="122" spans="2:15" ht="15" customHeight="1" x14ac:dyDescent="0.25">
      <c r="B122"/>
      <c r="C122"/>
      <c r="E122"/>
      <c r="F122"/>
      <c r="G122"/>
      <c r="H122"/>
      <c r="I122"/>
      <c r="J122"/>
      <c r="K122"/>
      <c r="L122"/>
      <c r="M122"/>
      <c r="N122"/>
      <c r="O122"/>
    </row>
    <row r="123" spans="2:15" ht="15" customHeight="1" x14ac:dyDescent="0.25">
      <c r="B123"/>
      <c r="C123"/>
      <c r="E123"/>
      <c r="F123"/>
      <c r="G123"/>
      <c r="H123"/>
      <c r="I123"/>
      <c r="J123"/>
      <c r="K123"/>
      <c r="L123"/>
      <c r="M123"/>
      <c r="N123"/>
      <c r="O123"/>
    </row>
    <row r="124" spans="2:15" ht="15" customHeight="1" x14ac:dyDescent="0.25">
      <c r="B124"/>
      <c r="C124"/>
      <c r="E124"/>
      <c r="F124"/>
      <c r="G124"/>
      <c r="H124"/>
      <c r="I124"/>
      <c r="J124"/>
      <c r="K124"/>
      <c r="L124"/>
      <c r="M124"/>
      <c r="N124"/>
      <c r="O124"/>
    </row>
    <row r="125" spans="2:15" ht="15" customHeight="1" x14ac:dyDescent="0.25">
      <c r="B125"/>
      <c r="C125"/>
      <c r="E125"/>
      <c r="F125"/>
      <c r="G125"/>
      <c r="H125"/>
      <c r="I125"/>
      <c r="J125"/>
      <c r="K125"/>
      <c r="L125"/>
      <c r="M125"/>
      <c r="N125"/>
      <c r="O125"/>
    </row>
    <row r="126" spans="2:15" ht="15" customHeight="1" x14ac:dyDescent="0.25">
      <c r="B126"/>
      <c r="C126"/>
      <c r="E126"/>
      <c r="F126"/>
      <c r="G126"/>
      <c r="H126"/>
      <c r="I126"/>
      <c r="J126"/>
      <c r="K126"/>
      <c r="L126"/>
      <c r="M126"/>
      <c r="N126"/>
      <c r="O126"/>
    </row>
    <row r="127" spans="2:15" ht="15" customHeight="1" x14ac:dyDescent="0.25">
      <c r="B127"/>
      <c r="C127"/>
      <c r="E127"/>
      <c r="F127"/>
      <c r="G127"/>
      <c r="H127"/>
      <c r="I127"/>
      <c r="J127"/>
      <c r="K127"/>
      <c r="L127"/>
      <c r="M127"/>
      <c r="N127"/>
      <c r="O127"/>
    </row>
    <row r="128" spans="2:15" ht="15" customHeight="1" x14ac:dyDescent="0.25">
      <c r="B128"/>
      <c r="C128"/>
      <c r="E128"/>
      <c r="F128"/>
      <c r="G128"/>
      <c r="H128"/>
      <c r="I128"/>
      <c r="J128"/>
      <c r="K128"/>
      <c r="L128"/>
      <c r="M128"/>
      <c r="N128"/>
      <c r="O128"/>
    </row>
    <row r="129" spans="2:15" ht="15" customHeight="1" x14ac:dyDescent="0.25">
      <c r="B129"/>
      <c r="C129"/>
      <c r="E129"/>
      <c r="F129"/>
      <c r="G129"/>
      <c r="H129"/>
      <c r="I129"/>
      <c r="J129"/>
      <c r="K129"/>
      <c r="L129"/>
      <c r="M129"/>
      <c r="N129"/>
      <c r="O129"/>
    </row>
    <row r="130" spans="2:15" ht="15" customHeight="1" x14ac:dyDescent="0.25">
      <c r="B130"/>
      <c r="C130"/>
      <c r="E130"/>
      <c r="F130"/>
      <c r="G130"/>
      <c r="H130"/>
      <c r="I130"/>
      <c r="J130"/>
      <c r="K130"/>
      <c r="L130"/>
      <c r="M130"/>
      <c r="N130"/>
      <c r="O130"/>
    </row>
    <row r="131" spans="2:15" ht="15" customHeight="1" x14ac:dyDescent="0.25">
      <c r="B131"/>
      <c r="C131"/>
    </row>
    <row r="132" spans="2:15" ht="15" customHeight="1" x14ac:dyDescent="0.25">
      <c r="B132"/>
      <c r="C132"/>
    </row>
    <row r="133" spans="2:15" ht="15" customHeight="1" x14ac:dyDescent="0.25">
      <c r="B133"/>
      <c r="C133"/>
    </row>
    <row r="134" spans="2:15" ht="15" customHeight="1" x14ac:dyDescent="0.25">
      <c r="B134"/>
      <c r="C134"/>
    </row>
    <row r="135" spans="2:15" ht="15" customHeight="1" x14ac:dyDescent="0.25">
      <c r="B135"/>
      <c r="C135"/>
    </row>
    <row r="136" spans="2:15" ht="15" customHeight="1" x14ac:dyDescent="0.25">
      <c r="B136"/>
      <c r="C136"/>
    </row>
    <row r="137" spans="2:15" ht="15" customHeight="1" x14ac:dyDescent="0.25">
      <c r="B137"/>
      <c r="C137"/>
    </row>
    <row r="138" spans="2:15" ht="15" customHeight="1" x14ac:dyDescent="0.25">
      <c r="B138"/>
      <c r="C138"/>
    </row>
    <row r="139" spans="2:15" ht="15" customHeight="1" x14ac:dyDescent="0.25">
      <c r="B139"/>
      <c r="C139"/>
    </row>
    <row r="140" spans="2:15" ht="15" customHeight="1" x14ac:dyDescent="0.25">
      <c r="B140"/>
      <c r="C140"/>
    </row>
    <row r="141" spans="2:15" ht="15" customHeight="1" x14ac:dyDescent="0.25">
      <c r="B141"/>
      <c r="C141"/>
    </row>
    <row r="142" spans="2:15" ht="15" customHeight="1" x14ac:dyDescent="0.25">
      <c r="B142"/>
      <c r="C142"/>
    </row>
    <row r="143" spans="2:15" ht="15" customHeight="1" x14ac:dyDescent="0.25">
      <c r="B143"/>
      <c r="C143"/>
    </row>
    <row r="144" spans="2:15" ht="15" customHeight="1" x14ac:dyDescent="0.25">
      <c r="B144"/>
      <c r="C144"/>
    </row>
    <row r="145" spans="2:3" ht="15" customHeight="1" x14ac:dyDescent="0.25">
      <c r="B145"/>
      <c r="C145"/>
    </row>
    <row r="146" spans="2:3" ht="15" customHeight="1" x14ac:dyDescent="0.25">
      <c r="B146"/>
      <c r="C146"/>
    </row>
    <row r="147" spans="2:3" ht="15" customHeight="1" x14ac:dyDescent="0.25">
      <c r="B147"/>
      <c r="C147"/>
    </row>
    <row r="148" spans="2:3" ht="15" customHeight="1" x14ac:dyDescent="0.25">
      <c r="B148"/>
      <c r="C148"/>
    </row>
    <row r="149" spans="2:3" ht="15" customHeight="1" x14ac:dyDescent="0.25">
      <c r="B149"/>
      <c r="C149"/>
    </row>
    <row r="150" spans="2:3" ht="15" customHeight="1" x14ac:dyDescent="0.25">
      <c r="B150"/>
      <c r="C150"/>
    </row>
    <row r="151" spans="2:3" ht="15" customHeight="1" x14ac:dyDescent="0.25">
      <c r="B151"/>
      <c r="C151"/>
    </row>
    <row r="152" spans="2:3" ht="15" customHeight="1" x14ac:dyDescent="0.25">
      <c r="B152"/>
      <c r="C152"/>
    </row>
    <row r="153" spans="2:3" ht="15" customHeight="1" x14ac:dyDescent="0.25">
      <c r="B153"/>
      <c r="C153"/>
    </row>
    <row r="154" spans="2:3" ht="15" customHeight="1" x14ac:dyDescent="0.25">
      <c r="B154"/>
      <c r="C154"/>
    </row>
    <row r="155" spans="2:3" ht="15" customHeight="1" x14ac:dyDescent="0.25">
      <c r="B155"/>
      <c r="C155"/>
    </row>
    <row r="156" spans="2:3" ht="15" customHeight="1" x14ac:dyDescent="0.25">
      <c r="B156"/>
      <c r="C156"/>
    </row>
    <row r="157" spans="2:3" ht="15" customHeight="1" x14ac:dyDescent="0.25">
      <c r="B157"/>
      <c r="C157"/>
    </row>
    <row r="158" spans="2:3" ht="15" customHeight="1" x14ac:dyDescent="0.25">
      <c r="B158"/>
      <c r="C158"/>
    </row>
    <row r="159" spans="2:3" ht="15" customHeight="1" x14ac:dyDescent="0.25">
      <c r="B159"/>
      <c r="C159"/>
    </row>
    <row r="160" spans="2:3" ht="15" customHeight="1" x14ac:dyDescent="0.25">
      <c r="B160"/>
      <c r="C160"/>
    </row>
    <row r="161" spans="2:3" ht="15" customHeight="1" x14ac:dyDescent="0.25">
      <c r="B161"/>
      <c r="C161"/>
    </row>
    <row r="162" spans="2:3" ht="15" customHeight="1" x14ac:dyDescent="0.25">
      <c r="B162"/>
      <c r="C162"/>
    </row>
    <row r="163" spans="2:3" ht="15" customHeight="1" x14ac:dyDescent="0.25">
      <c r="B163"/>
      <c r="C163"/>
    </row>
    <row r="164" spans="2:3" ht="15" customHeight="1" x14ac:dyDescent="0.25">
      <c r="B164"/>
      <c r="C164"/>
    </row>
    <row r="165" spans="2:3" ht="15" customHeight="1" x14ac:dyDescent="0.25">
      <c r="B165"/>
      <c r="C165"/>
    </row>
    <row r="166" spans="2:3" ht="15" customHeight="1" x14ac:dyDescent="0.25">
      <c r="B166"/>
      <c r="C166"/>
    </row>
    <row r="167" spans="2:3" ht="15" customHeight="1" x14ac:dyDescent="0.25">
      <c r="B167"/>
      <c r="C167"/>
    </row>
    <row r="168" spans="2:3" ht="15" customHeight="1" x14ac:dyDescent="0.25">
      <c r="B168"/>
      <c r="C168"/>
    </row>
    <row r="169" spans="2:3" ht="15" customHeight="1" x14ac:dyDescent="0.25">
      <c r="B169"/>
      <c r="C169"/>
    </row>
    <row r="170" spans="2:3" ht="15" customHeight="1" x14ac:dyDescent="0.25">
      <c r="B170"/>
      <c r="C170"/>
    </row>
    <row r="171" spans="2:3" ht="15" customHeight="1" x14ac:dyDescent="0.25">
      <c r="B171"/>
      <c r="C171"/>
    </row>
  </sheetData>
  <mergeCells count="1">
    <mergeCell ref="A2:A17"/>
  </mergeCells>
  <phoneticPr fontId="6" type="noConversion"/>
  <conditionalFormatting sqref="C3:C81">
    <cfRule type="cellIs" dxfId="7" priority="1" operator="equal">
      <formula>C2</formula>
    </cfRule>
  </conditionalFormatting>
  <conditionalFormatting sqref="E3:R81">
    <cfRule type="cellIs" dxfId="6" priority="3" operator="equal">
      <formula>0</formula>
    </cfRule>
  </conditionalFormatting>
  <conditionalFormatting sqref="S3:S81">
    <cfRule type="cellIs" dxfId="5" priority="4" operator="less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98D7-4EBA-4632-924A-1D16465B26F8}">
  <dimension ref="A1:Y210"/>
  <sheetViews>
    <sheetView showGridLines="0" tabSelected="1" zoomScale="85" zoomScaleNormal="85" workbookViewId="0">
      <pane xSplit="4" ySplit="2" topLeftCell="Q6" activePane="bottomRight" state="frozen"/>
      <selection pane="topRight" activeCell="E1" sqref="E1"/>
      <selection pane="bottomLeft" activeCell="A3" sqref="A3"/>
      <selection pane="bottomRight" activeCell="R17" sqref="R17"/>
    </sheetView>
  </sheetViews>
  <sheetFormatPr defaultRowHeight="13.2" x14ac:dyDescent="0.25"/>
  <cols>
    <col min="1" max="1" width="5.77734375" style="5" customWidth="1"/>
    <col min="2" max="2" width="14.21875" style="2" bestFit="1" customWidth="1"/>
    <col min="3" max="3" width="16.21875" style="2" bestFit="1" customWidth="1"/>
    <col min="4" max="4" width="27.109375" style="2" customWidth="1"/>
    <col min="5" max="5" width="13.77734375" style="2" customWidth="1"/>
    <col min="6" max="6" width="26.77734375" style="2" customWidth="1"/>
    <col min="7" max="7" width="13.77734375" style="2" customWidth="1"/>
    <col min="8" max="8" width="26.77734375" style="2" customWidth="1"/>
    <col min="9" max="9" width="13.77734375" style="2" customWidth="1"/>
    <col min="10" max="10" width="26.77734375" style="2" customWidth="1"/>
    <col min="11" max="11" width="13.77734375" style="2" customWidth="1"/>
    <col min="12" max="12" width="26.77734375" style="2" customWidth="1"/>
    <col min="13" max="13" width="13.77734375" style="2" customWidth="1"/>
    <col min="14" max="14" width="26.77734375" style="2" customWidth="1"/>
    <col min="15" max="15" width="13.77734375" style="2" customWidth="1"/>
    <col min="16" max="16" width="26.77734375" style="2" customWidth="1"/>
    <col min="17" max="17" width="13.77734375" style="2" customWidth="1"/>
    <col min="18" max="18" width="26.77734375" style="2" customWidth="1"/>
    <col min="19" max="19" width="13.77734375" customWidth="1"/>
    <col min="20" max="20" width="26.77734375" customWidth="1"/>
  </cols>
  <sheetData>
    <row r="1" spans="1:25" x14ac:dyDescent="0.25">
      <c r="A1" s="1">
        <v>1</v>
      </c>
      <c r="S1" s="2"/>
      <c r="T1" s="2"/>
    </row>
    <row r="2" spans="1:25" ht="24.75" customHeight="1" x14ac:dyDescent="0.25">
      <c r="A2" s="39" t="s">
        <v>158</v>
      </c>
      <c r="B2" s="3" t="s">
        <v>1</v>
      </c>
      <c r="C2" s="3" t="s">
        <v>2</v>
      </c>
      <c r="D2" s="3" t="s">
        <v>3</v>
      </c>
      <c r="E2" s="15" t="s">
        <v>159</v>
      </c>
      <c r="F2" s="4" t="s">
        <v>160</v>
      </c>
      <c r="G2" s="18" t="s">
        <v>161</v>
      </c>
      <c r="H2" s="4" t="s">
        <v>162</v>
      </c>
      <c r="I2" s="18" t="s">
        <v>163</v>
      </c>
      <c r="J2" s="4" t="s">
        <v>164</v>
      </c>
      <c r="K2" s="18" t="s">
        <v>165</v>
      </c>
      <c r="L2" s="4" t="s">
        <v>166</v>
      </c>
      <c r="M2" s="18" t="s">
        <v>167</v>
      </c>
      <c r="N2" s="4" t="s">
        <v>168</v>
      </c>
      <c r="O2" s="18" t="s">
        <v>169</v>
      </c>
      <c r="P2" s="4" t="s">
        <v>170</v>
      </c>
      <c r="Q2" s="18" t="s">
        <v>171</v>
      </c>
      <c r="R2" s="4" t="s">
        <v>172</v>
      </c>
      <c r="T2" s="11" t="s">
        <v>173</v>
      </c>
    </row>
    <row r="3" spans="1:25" ht="26.4" x14ac:dyDescent="0.25">
      <c r="A3" s="39"/>
      <c r="B3" s="3" t="s">
        <v>19</v>
      </c>
      <c r="C3" s="2" t="s">
        <v>20</v>
      </c>
      <c r="D3" s="2" t="s">
        <v>21</v>
      </c>
      <c r="E3" s="19" t="s">
        <v>174</v>
      </c>
      <c r="F3" s="16" t="s">
        <v>175</v>
      </c>
      <c r="G3" s="19" t="s">
        <v>174</v>
      </c>
      <c r="H3" s="16" t="s">
        <v>175</v>
      </c>
      <c r="I3" s="19" t="s">
        <v>174</v>
      </c>
      <c r="J3" s="16" t="s">
        <v>175</v>
      </c>
      <c r="K3" s="19" t="s">
        <v>174</v>
      </c>
      <c r="L3" s="16" t="s">
        <v>175</v>
      </c>
      <c r="M3" s="19" t="s">
        <v>174</v>
      </c>
      <c r="N3" s="16" t="s">
        <v>175</v>
      </c>
      <c r="O3" s="19" t="s">
        <v>174</v>
      </c>
      <c r="P3" s="16" t="s">
        <v>175</v>
      </c>
      <c r="Q3" s="19" t="s">
        <v>174</v>
      </c>
      <c r="R3" s="16" t="s">
        <v>175</v>
      </c>
      <c r="T3" s="9" t="s">
        <v>176</v>
      </c>
      <c r="U3" s="40" t="s">
        <v>177</v>
      </c>
      <c r="V3" s="40"/>
      <c r="W3" s="40"/>
      <c r="X3" s="40"/>
      <c r="Y3" s="40"/>
    </row>
    <row r="4" spans="1:25" ht="26.4" x14ac:dyDescent="0.25">
      <c r="A4" s="39"/>
      <c r="B4" s="3"/>
      <c r="C4" s="2" t="s">
        <v>178</v>
      </c>
      <c r="D4" s="21" t="s">
        <v>179</v>
      </c>
      <c r="E4" s="19" t="s">
        <v>180</v>
      </c>
      <c r="F4" s="22" t="s">
        <v>181</v>
      </c>
      <c r="G4" s="19" t="s">
        <v>180</v>
      </c>
      <c r="H4" s="16" t="s">
        <v>181</v>
      </c>
      <c r="I4" s="19" t="s">
        <v>180</v>
      </c>
      <c r="J4" s="16" t="s">
        <v>181</v>
      </c>
      <c r="K4" s="19" t="s">
        <v>180</v>
      </c>
      <c r="L4" s="16" t="s">
        <v>181</v>
      </c>
      <c r="M4" s="19" t="s">
        <v>180</v>
      </c>
      <c r="N4" s="16" t="s">
        <v>181</v>
      </c>
      <c r="O4" s="19" t="s">
        <v>180</v>
      </c>
      <c r="P4" s="16" t="s">
        <v>181</v>
      </c>
      <c r="Q4" s="19" t="s">
        <v>180</v>
      </c>
      <c r="R4" s="16" t="s">
        <v>181</v>
      </c>
      <c r="T4" s="9"/>
      <c r="U4" s="12"/>
      <c r="V4" s="12"/>
      <c r="W4" s="12"/>
      <c r="X4" s="12"/>
      <c r="Y4" s="12"/>
    </row>
    <row r="5" spans="1:25" ht="26.4" x14ac:dyDescent="0.25">
      <c r="A5" s="39"/>
      <c r="B5" s="3" t="s">
        <v>23</v>
      </c>
      <c r="C5" s="2" t="s">
        <v>182</v>
      </c>
      <c r="D5" s="2" t="s">
        <v>25</v>
      </c>
      <c r="E5" s="19"/>
      <c r="F5" s="14"/>
      <c r="G5" s="19" t="s">
        <v>174</v>
      </c>
      <c r="H5" s="16" t="s">
        <v>175</v>
      </c>
      <c r="I5" s="19" t="s">
        <v>174</v>
      </c>
      <c r="J5" s="16" t="s">
        <v>175</v>
      </c>
      <c r="K5" s="19" t="s">
        <v>174</v>
      </c>
      <c r="L5" s="16" t="s">
        <v>175</v>
      </c>
      <c r="M5" s="19" t="s">
        <v>174</v>
      </c>
      <c r="N5" s="16" t="s">
        <v>175</v>
      </c>
      <c r="O5" s="19" t="s">
        <v>174</v>
      </c>
      <c r="P5" s="16" t="s">
        <v>175</v>
      </c>
      <c r="Q5" s="19" t="s">
        <v>174</v>
      </c>
      <c r="R5" s="16" t="s">
        <v>175</v>
      </c>
      <c r="T5" s="9" t="s">
        <v>183</v>
      </c>
      <c r="U5" s="40" t="s">
        <v>184</v>
      </c>
      <c r="V5" s="40"/>
      <c r="W5" s="40"/>
      <c r="X5" s="40"/>
      <c r="Y5" s="40"/>
    </row>
    <row r="6" spans="1:25" x14ac:dyDescent="0.25">
      <c r="A6" s="39"/>
      <c r="B6" s="3" t="s">
        <v>23</v>
      </c>
      <c r="C6" s="2" t="s">
        <v>26</v>
      </c>
      <c r="D6" s="2" t="s">
        <v>27</v>
      </c>
      <c r="E6" s="19" t="s">
        <v>174</v>
      </c>
      <c r="F6" s="14" t="s">
        <v>185</v>
      </c>
      <c r="G6" s="19" t="s">
        <v>174</v>
      </c>
      <c r="H6" s="14" t="s">
        <v>186</v>
      </c>
      <c r="I6" s="19" t="s">
        <v>174</v>
      </c>
      <c r="J6" s="14" t="s">
        <v>186</v>
      </c>
      <c r="K6" s="19" t="s">
        <v>174</v>
      </c>
      <c r="L6" s="14" t="s">
        <v>186</v>
      </c>
      <c r="M6" s="19" t="s">
        <v>174</v>
      </c>
      <c r="N6" s="14" t="s">
        <v>186</v>
      </c>
      <c r="O6" s="19" t="s">
        <v>174</v>
      </c>
      <c r="P6" s="14" t="s">
        <v>186</v>
      </c>
      <c r="Q6" s="19" t="s">
        <v>174</v>
      </c>
      <c r="R6" s="14" t="s">
        <v>186</v>
      </c>
      <c r="T6" s="10" t="s">
        <v>187</v>
      </c>
      <c r="U6" s="40" t="s">
        <v>188</v>
      </c>
      <c r="V6" s="40"/>
      <c r="W6" s="40"/>
      <c r="X6" s="40"/>
      <c r="Y6" s="40"/>
    </row>
    <row r="7" spans="1:25" x14ac:dyDescent="0.25">
      <c r="A7" s="39"/>
      <c r="B7" s="3" t="s">
        <v>28</v>
      </c>
      <c r="C7" s="2" t="s">
        <v>29</v>
      </c>
      <c r="D7" s="2" t="s">
        <v>30</v>
      </c>
      <c r="E7" s="19" t="s">
        <v>189</v>
      </c>
      <c r="F7" s="33" t="s">
        <v>190</v>
      </c>
      <c r="G7" s="19" t="s">
        <v>189</v>
      </c>
      <c r="H7" s="14" t="s">
        <v>191</v>
      </c>
      <c r="I7" s="19" t="s">
        <v>189</v>
      </c>
      <c r="J7" s="14" t="s">
        <v>192</v>
      </c>
      <c r="K7" s="19" t="s">
        <v>189</v>
      </c>
      <c r="L7" s="14" t="s">
        <v>192</v>
      </c>
      <c r="M7" s="19" t="s">
        <v>189</v>
      </c>
      <c r="N7" s="14" t="s">
        <v>192</v>
      </c>
      <c r="O7" s="19"/>
      <c r="P7" s="14"/>
      <c r="Q7" s="19"/>
      <c r="R7" s="14"/>
    </row>
    <row r="8" spans="1:25" x14ac:dyDescent="0.25">
      <c r="A8" s="39"/>
      <c r="B8" s="3" t="s">
        <v>28</v>
      </c>
      <c r="C8" s="2" t="s">
        <v>31</v>
      </c>
      <c r="D8" s="2" t="s">
        <v>32</v>
      </c>
      <c r="E8" s="19"/>
      <c r="F8" s="14"/>
      <c r="G8" s="19" t="s">
        <v>189</v>
      </c>
      <c r="H8" s="14" t="s">
        <v>193</v>
      </c>
      <c r="I8" s="19" t="s">
        <v>189</v>
      </c>
      <c r="J8" s="14" t="s">
        <v>194</v>
      </c>
      <c r="K8" s="19" t="s">
        <v>189</v>
      </c>
      <c r="L8" s="14" t="s">
        <v>194</v>
      </c>
      <c r="M8" s="19" t="s">
        <v>189</v>
      </c>
      <c r="N8" s="14" t="s">
        <v>194</v>
      </c>
      <c r="O8" s="19"/>
      <c r="P8" s="14"/>
      <c r="Q8" s="19"/>
      <c r="R8" s="14"/>
    </row>
    <row r="9" spans="1:25" ht="39.6" x14ac:dyDescent="0.25">
      <c r="A9" s="39"/>
      <c r="B9" s="3" t="s">
        <v>28</v>
      </c>
      <c r="C9" s="2" t="s">
        <v>33</v>
      </c>
      <c r="D9" s="2" t="s">
        <v>34</v>
      </c>
      <c r="E9" s="19" t="s">
        <v>189</v>
      </c>
      <c r="F9" s="16" t="s">
        <v>195</v>
      </c>
      <c r="G9" s="19"/>
      <c r="H9" s="14"/>
      <c r="I9" s="19"/>
      <c r="J9" s="14"/>
      <c r="K9" s="19"/>
      <c r="L9" s="14"/>
      <c r="M9" s="19"/>
      <c r="N9" s="14"/>
      <c r="O9" s="19"/>
      <c r="P9" s="14"/>
      <c r="Q9" s="19"/>
      <c r="R9" s="14"/>
    </row>
    <row r="10" spans="1:25" x14ac:dyDescent="0.25">
      <c r="A10" s="39"/>
      <c r="B10" s="3" t="s">
        <v>28</v>
      </c>
      <c r="C10" s="2" t="s">
        <v>33</v>
      </c>
      <c r="D10" s="2" t="s">
        <v>35</v>
      </c>
      <c r="E10" s="19"/>
      <c r="F10" s="14"/>
      <c r="G10" s="19" t="s">
        <v>189</v>
      </c>
      <c r="H10" s="14" t="s">
        <v>196</v>
      </c>
      <c r="I10" s="19"/>
      <c r="J10" s="14"/>
      <c r="K10" s="19"/>
      <c r="L10" s="14"/>
      <c r="M10" s="19"/>
      <c r="N10" s="14"/>
      <c r="O10" s="19"/>
      <c r="P10" s="14"/>
      <c r="Q10" s="19"/>
      <c r="R10" s="14"/>
    </row>
    <row r="11" spans="1:25" ht="26.4" x14ac:dyDescent="0.25">
      <c r="A11" s="39"/>
      <c r="B11" s="3" t="s">
        <v>28</v>
      </c>
      <c r="C11" s="2" t="s">
        <v>33</v>
      </c>
      <c r="D11" s="2" t="s">
        <v>36</v>
      </c>
      <c r="E11" s="19"/>
      <c r="F11" s="14"/>
      <c r="G11" s="19"/>
      <c r="H11" s="14"/>
      <c r="I11" s="19"/>
      <c r="J11" s="14"/>
      <c r="K11" s="19"/>
      <c r="L11" s="14"/>
      <c r="M11" s="19"/>
      <c r="N11" s="14"/>
      <c r="O11" s="19" t="s">
        <v>189</v>
      </c>
      <c r="P11" s="14" t="s">
        <v>197</v>
      </c>
      <c r="Q11" s="19" t="s">
        <v>189</v>
      </c>
      <c r="R11" s="32" t="s">
        <v>198</v>
      </c>
    </row>
    <row r="12" spans="1:25" x14ac:dyDescent="0.25">
      <c r="A12" s="39"/>
      <c r="B12" s="3" t="s">
        <v>28</v>
      </c>
      <c r="C12" s="2" t="s">
        <v>37</v>
      </c>
      <c r="D12" s="2" t="s">
        <v>38</v>
      </c>
      <c r="E12" s="19"/>
      <c r="F12" s="14"/>
      <c r="G12" s="19"/>
      <c r="H12" s="14"/>
      <c r="I12" s="19" t="s">
        <v>189</v>
      </c>
      <c r="J12" s="14">
        <v>1.5E-3</v>
      </c>
      <c r="K12" s="19" t="s">
        <v>189</v>
      </c>
      <c r="L12" s="14">
        <v>1.5E-3</v>
      </c>
      <c r="M12" s="19" t="s">
        <v>189</v>
      </c>
      <c r="N12" s="14">
        <v>1.5E-3</v>
      </c>
      <c r="O12" s="19"/>
      <c r="P12" s="14"/>
      <c r="Q12" s="19"/>
      <c r="R12" s="14"/>
    </row>
    <row r="13" spans="1:25" x14ac:dyDescent="0.25">
      <c r="A13" s="39"/>
      <c r="B13" s="3" t="s">
        <v>28</v>
      </c>
      <c r="C13" s="2" t="s">
        <v>39</v>
      </c>
      <c r="D13" s="2" t="s">
        <v>40</v>
      </c>
      <c r="E13" s="19"/>
      <c r="F13" s="14"/>
      <c r="G13" s="19"/>
      <c r="H13" s="14"/>
      <c r="I13" s="19" t="s">
        <v>189</v>
      </c>
      <c r="J13" s="14">
        <v>1.5E-3</v>
      </c>
      <c r="K13" s="19" t="s">
        <v>189</v>
      </c>
      <c r="L13" s="14">
        <v>1.5E-3</v>
      </c>
      <c r="M13" s="19" t="s">
        <v>189</v>
      </c>
      <c r="N13" s="14">
        <v>1.5E-3</v>
      </c>
      <c r="O13" s="19"/>
      <c r="P13" s="14"/>
      <c r="Q13" s="19"/>
      <c r="R13" s="14"/>
    </row>
    <row r="14" spans="1:25" ht="52.8" x14ac:dyDescent="0.25">
      <c r="A14" s="39"/>
      <c r="B14" s="3" t="s">
        <v>28</v>
      </c>
      <c r="C14" s="2" t="s">
        <v>41</v>
      </c>
      <c r="D14" s="2" t="s">
        <v>42</v>
      </c>
      <c r="E14" s="19"/>
      <c r="F14" s="14"/>
      <c r="G14" s="19"/>
      <c r="H14" s="14"/>
      <c r="I14" s="19" t="s">
        <v>199</v>
      </c>
      <c r="J14" s="16" t="s">
        <v>200</v>
      </c>
      <c r="K14" s="19"/>
      <c r="L14" s="14"/>
      <c r="M14" s="19"/>
      <c r="N14" s="14"/>
      <c r="O14" s="19" t="s">
        <v>189</v>
      </c>
      <c r="P14" s="16" t="s">
        <v>201</v>
      </c>
      <c r="Q14" s="19" t="s">
        <v>189</v>
      </c>
      <c r="R14" s="16" t="s">
        <v>201</v>
      </c>
    </row>
    <row r="15" spans="1:25" ht="39.6" x14ac:dyDescent="0.25">
      <c r="A15" s="39"/>
      <c r="B15" s="3" t="s">
        <v>28</v>
      </c>
      <c r="C15" s="2" t="s">
        <v>43</v>
      </c>
      <c r="D15" s="2" t="s">
        <v>44</v>
      </c>
      <c r="E15" s="19" t="s">
        <v>189</v>
      </c>
      <c r="F15" s="16" t="s">
        <v>202</v>
      </c>
      <c r="G15" s="19"/>
      <c r="H15" s="14"/>
      <c r="I15" s="19"/>
      <c r="J15" s="14"/>
      <c r="K15" s="19"/>
      <c r="L15" s="14"/>
      <c r="M15" s="19"/>
      <c r="N15" s="14"/>
      <c r="O15" s="19"/>
      <c r="P15" s="14"/>
      <c r="Q15" s="19"/>
      <c r="R15" s="14"/>
    </row>
    <row r="16" spans="1:25" x14ac:dyDescent="0.25">
      <c r="A16" s="39"/>
      <c r="B16" s="3" t="s">
        <v>28</v>
      </c>
      <c r="C16" s="2" t="s">
        <v>43</v>
      </c>
      <c r="D16" s="2" t="s">
        <v>45</v>
      </c>
      <c r="E16" s="19"/>
      <c r="F16" s="14"/>
      <c r="G16" s="19"/>
      <c r="H16" s="14"/>
      <c r="I16" s="19" t="s">
        <v>189</v>
      </c>
      <c r="J16" s="14" t="s">
        <v>203</v>
      </c>
      <c r="K16" s="19" t="s">
        <v>189</v>
      </c>
      <c r="L16" s="14" t="s">
        <v>203</v>
      </c>
      <c r="M16" s="19" t="s">
        <v>189</v>
      </c>
      <c r="N16" s="14" t="s">
        <v>203</v>
      </c>
      <c r="O16" s="19"/>
      <c r="P16" s="14"/>
      <c r="Q16" s="19"/>
      <c r="R16" s="14"/>
    </row>
    <row r="17" spans="1:18" ht="66" x14ac:dyDescent="0.25">
      <c r="A17" s="39"/>
      <c r="B17" s="3" t="s">
        <v>46</v>
      </c>
      <c r="C17" s="2" t="s">
        <v>47</v>
      </c>
      <c r="D17" s="2" t="s">
        <v>48</v>
      </c>
      <c r="E17" s="19" t="s">
        <v>189</v>
      </c>
      <c r="F17" s="14" t="s">
        <v>204</v>
      </c>
      <c r="G17" s="19" t="s">
        <v>189</v>
      </c>
      <c r="H17" s="14" t="s">
        <v>205</v>
      </c>
      <c r="I17" s="19" t="s">
        <v>189</v>
      </c>
      <c r="J17" s="14" t="s">
        <v>206</v>
      </c>
      <c r="K17" s="19" t="s">
        <v>189</v>
      </c>
      <c r="L17" s="14" t="s">
        <v>206</v>
      </c>
      <c r="M17" s="19" t="s">
        <v>189</v>
      </c>
      <c r="N17" s="14" t="s">
        <v>206</v>
      </c>
      <c r="O17" s="19" t="s">
        <v>189</v>
      </c>
      <c r="P17" s="14" t="s">
        <v>207</v>
      </c>
      <c r="Q17" s="19" t="s">
        <v>189</v>
      </c>
      <c r="R17" s="14" t="s">
        <v>208</v>
      </c>
    </row>
    <row r="18" spans="1:18" ht="52.8" x14ac:dyDescent="0.25">
      <c r="A18" s="6"/>
      <c r="B18" s="3" t="s">
        <v>46</v>
      </c>
      <c r="C18" s="2" t="s">
        <v>49</v>
      </c>
      <c r="D18" s="2" t="s">
        <v>50</v>
      </c>
      <c r="E18" s="19" t="s">
        <v>189</v>
      </c>
      <c r="F18" s="14" t="s">
        <v>209</v>
      </c>
      <c r="G18" s="19" t="s">
        <v>189</v>
      </c>
      <c r="H18" s="14" t="s">
        <v>210</v>
      </c>
      <c r="I18" s="19"/>
      <c r="J18" s="14"/>
      <c r="K18" s="19"/>
      <c r="L18" s="14"/>
      <c r="M18" s="19"/>
      <c r="N18" s="14"/>
      <c r="O18" s="19" t="s">
        <v>189</v>
      </c>
      <c r="P18" s="14" t="s">
        <v>211</v>
      </c>
      <c r="Q18" s="19" t="s">
        <v>189</v>
      </c>
      <c r="R18" s="14" t="s">
        <v>212</v>
      </c>
    </row>
    <row r="19" spans="1:18" ht="52.8" x14ac:dyDescent="0.25">
      <c r="A19" s="6"/>
      <c r="B19" s="3" t="s">
        <v>46</v>
      </c>
      <c r="C19" s="2" t="s">
        <v>49</v>
      </c>
      <c r="D19" s="2" t="s">
        <v>51</v>
      </c>
      <c r="E19" s="19"/>
      <c r="F19" s="14"/>
      <c r="G19" s="19"/>
      <c r="H19" s="14"/>
      <c r="I19" s="19" t="s">
        <v>189</v>
      </c>
      <c r="J19" s="14" t="s">
        <v>213</v>
      </c>
      <c r="K19" s="19" t="s">
        <v>189</v>
      </c>
      <c r="L19" s="14" t="s">
        <v>213</v>
      </c>
      <c r="M19" s="19" t="s">
        <v>189</v>
      </c>
      <c r="N19" s="14" t="s">
        <v>213</v>
      </c>
      <c r="O19" s="19"/>
      <c r="P19" s="14"/>
      <c r="Q19" s="19"/>
      <c r="R19" s="14"/>
    </row>
    <row r="20" spans="1:18" ht="39.6" x14ac:dyDescent="0.25">
      <c r="B20" s="3" t="s">
        <v>52</v>
      </c>
      <c r="C20" s="2" t="s">
        <v>53</v>
      </c>
      <c r="D20" s="2" t="s">
        <v>54</v>
      </c>
      <c r="E20" s="19" t="s">
        <v>189</v>
      </c>
      <c r="F20" s="14" t="s">
        <v>214</v>
      </c>
      <c r="G20" s="19"/>
      <c r="H20" s="14"/>
      <c r="I20" s="19"/>
      <c r="J20" s="14"/>
      <c r="K20" s="19"/>
      <c r="L20" s="14"/>
      <c r="M20" s="19"/>
      <c r="N20" s="14"/>
      <c r="O20" s="19"/>
      <c r="P20" s="14"/>
      <c r="Q20" s="19"/>
      <c r="R20" s="14"/>
    </row>
    <row r="21" spans="1:18" ht="92.4" x14ac:dyDescent="0.25">
      <c r="B21" s="3" t="s">
        <v>52</v>
      </c>
      <c r="C21" s="2" t="s">
        <v>55</v>
      </c>
      <c r="D21" s="2" t="s">
        <v>56</v>
      </c>
      <c r="E21" s="19"/>
      <c r="F21" s="14"/>
      <c r="G21" s="19" t="s">
        <v>189</v>
      </c>
      <c r="H21" s="14" t="s">
        <v>215</v>
      </c>
      <c r="I21" s="19" t="s">
        <v>189</v>
      </c>
      <c r="J21" s="17" t="s">
        <v>215</v>
      </c>
      <c r="K21" s="19" t="s">
        <v>189</v>
      </c>
      <c r="L21" s="17" t="s">
        <v>215</v>
      </c>
      <c r="M21" s="20" t="s">
        <v>189</v>
      </c>
      <c r="N21" s="17" t="s">
        <v>215</v>
      </c>
      <c r="O21" s="19" t="s">
        <v>189</v>
      </c>
      <c r="P21" s="14" t="s">
        <v>216</v>
      </c>
      <c r="Q21" s="19" t="s">
        <v>189</v>
      </c>
      <c r="R21" s="14" t="s">
        <v>217</v>
      </c>
    </row>
    <row r="22" spans="1:18" ht="105.6" x14ac:dyDescent="0.25">
      <c r="B22" s="3" t="s">
        <v>52</v>
      </c>
      <c r="C22" s="2" t="s">
        <v>57</v>
      </c>
      <c r="D22" s="2" t="s">
        <v>58</v>
      </c>
      <c r="E22" s="19" t="s">
        <v>189</v>
      </c>
      <c r="F22" s="14" t="s">
        <v>218</v>
      </c>
      <c r="G22" s="19" t="s">
        <v>189</v>
      </c>
      <c r="H22" s="14" t="s">
        <v>219</v>
      </c>
      <c r="I22" s="19" t="s">
        <v>189</v>
      </c>
      <c r="J22" s="17" t="s">
        <v>219</v>
      </c>
      <c r="K22" s="20" t="s">
        <v>189</v>
      </c>
      <c r="L22" s="17" t="s">
        <v>219</v>
      </c>
      <c r="M22" s="20" t="s">
        <v>189</v>
      </c>
      <c r="N22" s="17" t="s">
        <v>219</v>
      </c>
      <c r="O22" s="19" t="s">
        <v>189</v>
      </c>
      <c r="P22" s="14" t="s">
        <v>220</v>
      </c>
      <c r="Q22" s="19" t="s">
        <v>189</v>
      </c>
      <c r="R22" s="14" t="s">
        <v>221</v>
      </c>
    </row>
    <row r="23" spans="1:18" ht="39.6" x14ac:dyDescent="0.25">
      <c r="B23" s="3" t="s">
        <v>52</v>
      </c>
      <c r="C23" s="2" t="s">
        <v>59</v>
      </c>
      <c r="D23" s="2" t="s">
        <v>60</v>
      </c>
      <c r="E23" s="19"/>
      <c r="F23" s="14"/>
      <c r="G23" s="19" t="s">
        <v>189</v>
      </c>
      <c r="H23" s="14" t="s">
        <v>222</v>
      </c>
      <c r="I23" s="19" t="s">
        <v>189</v>
      </c>
      <c r="J23" s="14" t="s">
        <v>222</v>
      </c>
      <c r="K23" s="19" t="s">
        <v>189</v>
      </c>
      <c r="L23" s="14" t="s">
        <v>222</v>
      </c>
      <c r="M23" s="19" t="s">
        <v>189</v>
      </c>
      <c r="N23" s="14" t="s">
        <v>222</v>
      </c>
      <c r="O23" s="19" t="s">
        <v>189</v>
      </c>
      <c r="P23" s="16" t="s">
        <v>202</v>
      </c>
      <c r="Q23" s="19"/>
      <c r="R23" s="14"/>
    </row>
    <row r="24" spans="1:18" ht="39.6" x14ac:dyDescent="0.25">
      <c r="A24" s="6"/>
      <c r="B24" s="3" t="s">
        <v>52</v>
      </c>
      <c r="C24" s="2" t="s">
        <v>61</v>
      </c>
      <c r="D24" s="2" t="s">
        <v>62</v>
      </c>
      <c r="E24" s="19"/>
      <c r="F24" s="14"/>
      <c r="G24" s="19"/>
      <c r="H24" s="14"/>
      <c r="I24" s="19" t="s">
        <v>223</v>
      </c>
      <c r="J24" s="14" t="s">
        <v>224</v>
      </c>
      <c r="K24" s="19" t="s">
        <v>223</v>
      </c>
      <c r="L24" s="14" t="s">
        <v>224</v>
      </c>
      <c r="M24" s="19" t="s">
        <v>223</v>
      </c>
      <c r="N24" s="14" t="s">
        <v>224</v>
      </c>
      <c r="O24" s="19"/>
      <c r="P24" s="14"/>
      <c r="Q24" s="19"/>
      <c r="R24" s="14"/>
    </row>
    <row r="25" spans="1:18" ht="39.6" x14ac:dyDescent="0.25">
      <c r="A25" s="6"/>
      <c r="B25" s="3" t="s">
        <v>52</v>
      </c>
      <c r="C25" s="2" t="s">
        <v>63</v>
      </c>
      <c r="D25" s="2" t="s">
        <v>64</v>
      </c>
      <c r="E25" s="19" t="s">
        <v>223</v>
      </c>
      <c r="F25" s="14" t="s">
        <v>225</v>
      </c>
      <c r="G25" s="19" t="s">
        <v>223</v>
      </c>
      <c r="H25" s="14" t="s">
        <v>226</v>
      </c>
      <c r="I25" s="19" t="s">
        <v>223</v>
      </c>
      <c r="J25" s="16" t="s">
        <v>202</v>
      </c>
      <c r="K25" s="19" t="s">
        <v>223</v>
      </c>
      <c r="L25" s="16" t="s">
        <v>202</v>
      </c>
      <c r="M25" s="19" t="s">
        <v>223</v>
      </c>
      <c r="N25" s="16" t="s">
        <v>202</v>
      </c>
      <c r="O25" s="19"/>
      <c r="P25" s="14"/>
      <c r="Q25" s="19" t="s">
        <v>223</v>
      </c>
      <c r="R25" s="16" t="s">
        <v>202</v>
      </c>
    </row>
    <row r="26" spans="1:18" ht="39.6" x14ac:dyDescent="0.25">
      <c r="B26" s="3" t="s">
        <v>52</v>
      </c>
      <c r="C26" s="2" t="s">
        <v>65</v>
      </c>
      <c r="D26" s="2" t="s">
        <v>66</v>
      </c>
      <c r="E26" s="19" t="s">
        <v>227</v>
      </c>
      <c r="F26" s="16" t="s">
        <v>202</v>
      </c>
      <c r="G26" s="19" t="s">
        <v>227</v>
      </c>
      <c r="H26" s="16" t="s">
        <v>202</v>
      </c>
      <c r="I26" s="19" t="s">
        <v>227</v>
      </c>
      <c r="J26" s="16" t="s">
        <v>202</v>
      </c>
      <c r="K26" s="19" t="s">
        <v>227</v>
      </c>
      <c r="L26" s="16" t="s">
        <v>202</v>
      </c>
      <c r="M26" s="19" t="s">
        <v>227</v>
      </c>
      <c r="N26" s="16" t="s">
        <v>202</v>
      </c>
      <c r="O26" s="19" t="s">
        <v>227</v>
      </c>
      <c r="P26" s="16" t="s">
        <v>202</v>
      </c>
      <c r="Q26" s="19" t="s">
        <v>227</v>
      </c>
      <c r="R26" s="16" t="s">
        <v>202</v>
      </c>
    </row>
    <row r="27" spans="1:18" ht="39.6" x14ac:dyDescent="0.25">
      <c r="A27" s="6"/>
      <c r="B27" s="3" t="s">
        <v>52</v>
      </c>
      <c r="C27" s="2" t="s">
        <v>67</v>
      </c>
      <c r="D27" s="2" t="s">
        <v>68</v>
      </c>
      <c r="E27" s="19" t="s">
        <v>228</v>
      </c>
      <c r="F27" s="16" t="s">
        <v>202</v>
      </c>
      <c r="G27" s="19"/>
      <c r="H27" s="14"/>
      <c r="I27" s="19"/>
      <c r="J27" s="14"/>
      <c r="K27" s="19"/>
      <c r="L27" s="14"/>
      <c r="M27" s="19"/>
      <c r="N27" s="14"/>
      <c r="O27" s="19"/>
      <c r="P27" s="14"/>
      <c r="Q27" s="19"/>
      <c r="R27" s="14"/>
    </row>
    <row r="28" spans="1:18" ht="39.6" x14ac:dyDescent="0.25">
      <c r="A28" s="6"/>
      <c r="B28" s="3" t="s">
        <v>52</v>
      </c>
      <c r="C28" s="2" t="s">
        <v>67</v>
      </c>
      <c r="D28" s="2" t="s">
        <v>69</v>
      </c>
      <c r="E28" s="19"/>
      <c r="F28" s="14"/>
      <c r="G28" s="19" t="s">
        <v>228</v>
      </c>
      <c r="H28" s="16" t="s">
        <v>202</v>
      </c>
      <c r="I28" s="19"/>
      <c r="J28" s="14"/>
      <c r="K28" s="19"/>
      <c r="L28" s="14"/>
      <c r="M28" s="19"/>
      <c r="N28" s="14"/>
      <c r="O28" s="19"/>
      <c r="P28" s="14"/>
      <c r="Q28" s="19"/>
      <c r="R28" s="14"/>
    </row>
    <row r="29" spans="1:18" ht="39.6" x14ac:dyDescent="0.25">
      <c r="B29" s="3" t="s">
        <v>52</v>
      </c>
      <c r="C29" s="2" t="s">
        <v>67</v>
      </c>
      <c r="D29" s="2" t="s">
        <v>70</v>
      </c>
      <c r="E29" s="19"/>
      <c r="F29" s="14"/>
      <c r="G29" s="19"/>
      <c r="H29" s="14"/>
      <c r="I29" s="19" t="s">
        <v>228</v>
      </c>
      <c r="J29" s="16" t="s">
        <v>202</v>
      </c>
      <c r="K29" s="19" t="s">
        <v>228</v>
      </c>
      <c r="L29" s="16" t="s">
        <v>202</v>
      </c>
      <c r="M29" s="19" t="s">
        <v>228</v>
      </c>
      <c r="N29" s="16" t="s">
        <v>202</v>
      </c>
      <c r="O29" s="19"/>
      <c r="P29" s="14"/>
      <c r="Q29" s="19"/>
      <c r="R29" s="14"/>
    </row>
    <row r="30" spans="1:18" ht="39.6" x14ac:dyDescent="0.25">
      <c r="B30" s="3" t="s">
        <v>52</v>
      </c>
      <c r="C30" s="2" t="s">
        <v>67</v>
      </c>
      <c r="D30" s="2" t="s">
        <v>71</v>
      </c>
      <c r="E30" s="19"/>
      <c r="F30" s="14"/>
      <c r="G30" s="19"/>
      <c r="H30" s="14"/>
      <c r="I30" s="19"/>
      <c r="J30" s="14"/>
      <c r="K30" s="19"/>
      <c r="L30" s="14"/>
      <c r="M30" s="19"/>
      <c r="N30" s="14"/>
      <c r="O30" s="19" t="s">
        <v>228</v>
      </c>
      <c r="P30" s="16" t="s">
        <v>202</v>
      </c>
      <c r="Q30" s="19"/>
      <c r="R30" s="14"/>
    </row>
    <row r="31" spans="1:18" ht="39.6" x14ac:dyDescent="0.25">
      <c r="B31" s="3" t="s">
        <v>52</v>
      </c>
      <c r="C31" s="2" t="s">
        <v>67</v>
      </c>
      <c r="D31" s="2" t="s">
        <v>72</v>
      </c>
      <c r="E31" s="19"/>
      <c r="F31" s="14"/>
      <c r="G31" s="19"/>
      <c r="H31" s="14"/>
      <c r="I31" s="19"/>
      <c r="J31" s="14"/>
      <c r="K31" s="19"/>
      <c r="L31" s="14"/>
      <c r="M31" s="19"/>
      <c r="N31" s="14"/>
      <c r="O31" s="19"/>
      <c r="P31" s="14"/>
      <c r="Q31" s="19" t="s">
        <v>228</v>
      </c>
      <c r="R31" s="16" t="s">
        <v>202</v>
      </c>
    </row>
    <row r="32" spans="1:18" ht="39.6" x14ac:dyDescent="0.25">
      <c r="B32" s="3" t="s">
        <v>52</v>
      </c>
      <c r="C32" s="2" t="s">
        <v>73</v>
      </c>
      <c r="D32" s="2" t="s">
        <v>74</v>
      </c>
      <c r="E32" s="19"/>
      <c r="F32" s="14"/>
      <c r="G32" s="19" t="s">
        <v>228</v>
      </c>
      <c r="H32" s="16" t="s">
        <v>202</v>
      </c>
      <c r="I32" s="19"/>
      <c r="J32" s="14"/>
      <c r="K32" s="19"/>
      <c r="L32" s="14"/>
      <c r="M32" s="19"/>
      <c r="N32" s="14"/>
      <c r="O32" s="19"/>
      <c r="P32" s="14"/>
      <c r="Q32" s="19"/>
      <c r="R32" s="14"/>
    </row>
    <row r="33" spans="2:18" ht="39.6" x14ac:dyDescent="0.25">
      <c r="B33" s="3" t="s">
        <v>52</v>
      </c>
      <c r="C33" s="2" t="s">
        <v>75</v>
      </c>
      <c r="D33" s="2" t="s">
        <v>76</v>
      </c>
      <c r="E33" s="19" t="s">
        <v>189</v>
      </c>
      <c r="F33" s="16" t="s">
        <v>202</v>
      </c>
      <c r="G33" s="19"/>
      <c r="H33" s="14"/>
      <c r="I33" s="19"/>
      <c r="J33" s="14"/>
      <c r="K33" s="19"/>
      <c r="L33" s="14"/>
      <c r="M33" s="19"/>
      <c r="N33" s="14"/>
      <c r="O33" s="19" t="s">
        <v>189</v>
      </c>
      <c r="P33" s="16" t="s">
        <v>202</v>
      </c>
      <c r="Q33" s="19" t="s">
        <v>189</v>
      </c>
      <c r="R33" s="16" t="s">
        <v>202</v>
      </c>
    </row>
    <row r="34" spans="2:18" ht="39.6" x14ac:dyDescent="0.25">
      <c r="B34" s="3" t="s">
        <v>52</v>
      </c>
      <c r="C34" s="2" t="s">
        <v>75</v>
      </c>
      <c r="D34" s="2" t="s">
        <v>77</v>
      </c>
      <c r="E34" s="19"/>
      <c r="F34" s="14"/>
      <c r="G34" s="19" t="s">
        <v>189</v>
      </c>
      <c r="H34" s="16" t="s">
        <v>202</v>
      </c>
      <c r="I34" s="19" t="s">
        <v>189</v>
      </c>
      <c r="J34" s="16" t="s">
        <v>202</v>
      </c>
      <c r="K34" s="19" t="s">
        <v>189</v>
      </c>
      <c r="L34" s="16" t="s">
        <v>202</v>
      </c>
      <c r="M34" s="19" t="s">
        <v>189</v>
      </c>
      <c r="N34" s="16" t="s">
        <v>202</v>
      </c>
      <c r="O34" s="19"/>
      <c r="P34" s="14"/>
      <c r="Q34" s="19"/>
      <c r="R34" s="14"/>
    </row>
    <row r="35" spans="2:18" ht="39.6" x14ac:dyDescent="0.25">
      <c r="B35" s="3" t="s">
        <v>52</v>
      </c>
      <c r="C35" s="2" t="s">
        <v>78</v>
      </c>
      <c r="D35" s="2" t="s">
        <v>79</v>
      </c>
      <c r="E35" s="19" t="s">
        <v>223</v>
      </c>
      <c r="F35" s="16" t="s">
        <v>202</v>
      </c>
      <c r="G35" s="19"/>
      <c r="H35" s="16" t="s">
        <v>202</v>
      </c>
      <c r="I35" s="19" t="s">
        <v>223</v>
      </c>
      <c r="J35" s="16" t="s">
        <v>202</v>
      </c>
      <c r="K35" s="19" t="s">
        <v>223</v>
      </c>
      <c r="L35" s="16" t="s">
        <v>202</v>
      </c>
      <c r="M35" s="19" t="s">
        <v>223</v>
      </c>
      <c r="N35" s="16" t="s">
        <v>202</v>
      </c>
      <c r="O35" s="19" t="s">
        <v>223</v>
      </c>
      <c r="P35" s="16" t="s">
        <v>202</v>
      </c>
      <c r="Q35" s="19" t="s">
        <v>223</v>
      </c>
      <c r="R35" s="16" t="s">
        <v>202</v>
      </c>
    </row>
    <row r="36" spans="2:18" ht="39.6" x14ac:dyDescent="0.25">
      <c r="B36" s="3" t="s">
        <v>52</v>
      </c>
      <c r="C36" s="2" t="s">
        <v>80</v>
      </c>
      <c r="D36" s="2" t="s">
        <v>81</v>
      </c>
      <c r="E36" s="19" t="s">
        <v>223</v>
      </c>
      <c r="F36" s="16" t="s">
        <v>202</v>
      </c>
      <c r="G36" s="19"/>
      <c r="H36" s="16" t="s">
        <v>202</v>
      </c>
      <c r="I36" s="19" t="s">
        <v>223</v>
      </c>
      <c r="J36" s="16" t="s">
        <v>202</v>
      </c>
      <c r="K36" s="19" t="s">
        <v>223</v>
      </c>
      <c r="L36" s="16" t="s">
        <v>202</v>
      </c>
      <c r="M36" s="19" t="s">
        <v>223</v>
      </c>
      <c r="N36" s="16" t="s">
        <v>202</v>
      </c>
      <c r="O36" s="19"/>
      <c r="P36" s="14"/>
      <c r="Q36" s="19" t="s">
        <v>223</v>
      </c>
      <c r="R36" s="16" t="s">
        <v>202</v>
      </c>
    </row>
    <row r="37" spans="2:18" ht="39.6" x14ac:dyDescent="0.25">
      <c r="B37" s="3" t="s">
        <v>52</v>
      </c>
      <c r="C37" s="2" t="s">
        <v>82</v>
      </c>
      <c r="D37" s="2" t="s">
        <v>83</v>
      </c>
      <c r="E37" s="19"/>
      <c r="F37" s="14"/>
      <c r="G37" s="19"/>
      <c r="H37" s="14"/>
      <c r="I37" s="19" t="s">
        <v>199</v>
      </c>
      <c r="J37" s="16" t="s">
        <v>202</v>
      </c>
      <c r="K37" s="19" t="s">
        <v>199</v>
      </c>
      <c r="L37" s="16" t="s">
        <v>202</v>
      </c>
      <c r="M37" s="19" t="s">
        <v>199</v>
      </c>
      <c r="N37" s="16" t="s">
        <v>202</v>
      </c>
      <c r="O37" s="19"/>
      <c r="P37" s="14"/>
      <c r="Q37" s="19"/>
      <c r="R37" s="14"/>
    </row>
    <row r="38" spans="2:18" ht="39.6" x14ac:dyDescent="0.25">
      <c r="B38" s="3" t="s">
        <v>52</v>
      </c>
      <c r="C38" s="2" t="s">
        <v>84</v>
      </c>
      <c r="D38" s="2" t="s">
        <v>85</v>
      </c>
      <c r="E38" s="19" t="s">
        <v>199</v>
      </c>
      <c r="F38" s="16" t="s">
        <v>202</v>
      </c>
      <c r="G38" s="19"/>
      <c r="H38" s="14"/>
      <c r="I38" s="19"/>
      <c r="J38" s="14"/>
      <c r="K38" s="19"/>
      <c r="L38" s="14"/>
      <c r="M38" s="19"/>
      <c r="N38" s="14"/>
      <c r="O38" s="19"/>
      <c r="P38" s="14"/>
      <c r="Q38" s="19"/>
      <c r="R38" s="14"/>
    </row>
    <row r="39" spans="2:18" ht="39.6" x14ac:dyDescent="0.25">
      <c r="B39" s="3" t="s">
        <v>52</v>
      </c>
      <c r="C39" s="2" t="s">
        <v>84</v>
      </c>
      <c r="D39" s="2" t="s">
        <v>86</v>
      </c>
      <c r="E39" s="19"/>
      <c r="F39" s="14"/>
      <c r="G39" s="19" t="s">
        <v>199</v>
      </c>
      <c r="H39" s="16" t="s">
        <v>202</v>
      </c>
      <c r="I39" s="19"/>
      <c r="J39" s="14"/>
      <c r="K39" s="19"/>
      <c r="L39" s="14"/>
      <c r="M39" s="19"/>
      <c r="N39" s="14"/>
      <c r="O39" s="19" t="s">
        <v>199</v>
      </c>
      <c r="P39" s="16" t="s">
        <v>202</v>
      </c>
      <c r="Q39" s="19"/>
      <c r="R39" s="14"/>
    </row>
    <row r="40" spans="2:18" ht="39.6" x14ac:dyDescent="0.25">
      <c r="B40" s="3" t="s">
        <v>52</v>
      </c>
      <c r="C40" s="2" t="s">
        <v>84</v>
      </c>
      <c r="D40" s="2" t="s">
        <v>87</v>
      </c>
      <c r="E40" s="19"/>
      <c r="F40" s="14"/>
      <c r="G40" s="19"/>
      <c r="H40" s="14"/>
      <c r="I40" s="19" t="s">
        <v>199</v>
      </c>
      <c r="J40" s="16" t="s">
        <v>202</v>
      </c>
      <c r="K40" s="19" t="s">
        <v>199</v>
      </c>
      <c r="L40" s="16" t="s">
        <v>202</v>
      </c>
      <c r="M40" s="19" t="s">
        <v>199</v>
      </c>
      <c r="N40" s="16" t="s">
        <v>202</v>
      </c>
      <c r="O40" s="19"/>
      <c r="P40" s="14"/>
      <c r="Q40" s="19"/>
      <c r="R40" s="14"/>
    </row>
    <row r="41" spans="2:18" ht="39.6" x14ac:dyDescent="0.25">
      <c r="B41" s="3" t="s">
        <v>52</v>
      </c>
      <c r="C41" s="2" t="s">
        <v>84</v>
      </c>
      <c r="D41" s="2" t="s">
        <v>88</v>
      </c>
      <c r="E41" s="19"/>
      <c r="F41" s="14"/>
      <c r="G41" s="19"/>
      <c r="H41" s="14"/>
      <c r="I41" s="19"/>
      <c r="J41" s="14"/>
      <c r="K41" s="19"/>
      <c r="L41" s="14"/>
      <c r="M41" s="19"/>
      <c r="N41" s="14"/>
      <c r="O41" s="19"/>
      <c r="P41" s="14"/>
      <c r="Q41" s="19" t="s">
        <v>199</v>
      </c>
      <c r="R41" s="16" t="s">
        <v>202</v>
      </c>
    </row>
    <row r="42" spans="2:18" ht="39.6" x14ac:dyDescent="0.25">
      <c r="B42" s="3" t="s">
        <v>52</v>
      </c>
      <c r="C42" s="2" t="s">
        <v>89</v>
      </c>
      <c r="D42" s="2" t="s">
        <v>90</v>
      </c>
      <c r="E42" s="19" t="s">
        <v>199</v>
      </c>
      <c r="F42" s="16" t="s">
        <v>202</v>
      </c>
      <c r="G42" s="19"/>
      <c r="H42" s="14"/>
      <c r="I42" s="19"/>
      <c r="J42" s="14"/>
      <c r="K42" s="19"/>
      <c r="L42" s="14"/>
      <c r="M42" s="19"/>
      <c r="N42" s="14"/>
      <c r="O42" s="19" t="s">
        <v>199</v>
      </c>
      <c r="P42" s="16" t="s">
        <v>202</v>
      </c>
      <c r="Q42" s="19"/>
      <c r="R42" s="14"/>
    </row>
    <row r="43" spans="2:18" ht="39.6" x14ac:dyDescent="0.25">
      <c r="B43" s="3" t="s">
        <v>52</v>
      </c>
      <c r="C43" s="2" t="s">
        <v>89</v>
      </c>
      <c r="D43" s="2" t="s">
        <v>91</v>
      </c>
      <c r="E43" s="19"/>
      <c r="F43" s="14"/>
      <c r="G43" s="19" t="s">
        <v>199</v>
      </c>
      <c r="H43" s="16" t="s">
        <v>202</v>
      </c>
      <c r="I43" s="19" t="s">
        <v>199</v>
      </c>
      <c r="J43" s="16" t="s">
        <v>202</v>
      </c>
      <c r="K43" s="19" t="s">
        <v>199</v>
      </c>
      <c r="L43" s="16" t="s">
        <v>202</v>
      </c>
      <c r="M43" s="19" t="s">
        <v>199</v>
      </c>
      <c r="N43" s="16" t="s">
        <v>202</v>
      </c>
      <c r="O43" s="19"/>
      <c r="P43" s="14"/>
      <c r="Q43" s="19"/>
      <c r="R43" s="14"/>
    </row>
    <row r="44" spans="2:18" ht="39.6" x14ac:dyDescent="0.25">
      <c r="B44" s="3" t="s">
        <v>52</v>
      </c>
      <c r="C44" s="2" t="s">
        <v>89</v>
      </c>
      <c r="D44" s="2" t="s">
        <v>92</v>
      </c>
      <c r="E44" s="19"/>
      <c r="F44" s="14"/>
      <c r="G44" s="19"/>
      <c r="H44" s="14"/>
      <c r="I44" s="19"/>
      <c r="J44" s="14"/>
      <c r="K44" s="19"/>
      <c r="L44" s="14"/>
      <c r="M44" s="19"/>
      <c r="N44" s="14"/>
      <c r="O44" s="19"/>
      <c r="P44" s="14"/>
      <c r="Q44" s="19" t="s">
        <v>199</v>
      </c>
      <c r="R44" s="16" t="s">
        <v>202</v>
      </c>
    </row>
    <row r="45" spans="2:18" ht="39.6" x14ac:dyDescent="0.25">
      <c r="B45" s="3" t="s">
        <v>52</v>
      </c>
      <c r="C45" s="2" t="s">
        <v>93</v>
      </c>
      <c r="D45" s="2" t="s">
        <v>94</v>
      </c>
      <c r="E45" s="19"/>
      <c r="F45" s="14"/>
      <c r="G45" s="19" t="s">
        <v>189</v>
      </c>
      <c r="H45" s="16" t="s">
        <v>202</v>
      </c>
      <c r="I45" s="19"/>
      <c r="J45" s="14"/>
      <c r="K45" s="19"/>
      <c r="L45" s="14"/>
      <c r="M45" s="19"/>
      <c r="N45" s="14"/>
      <c r="O45" s="19"/>
      <c r="P45" s="14"/>
      <c r="Q45" s="19"/>
      <c r="R45" s="14"/>
    </row>
    <row r="46" spans="2:18" ht="39.6" x14ac:dyDescent="0.25">
      <c r="B46" s="3" t="s">
        <v>52</v>
      </c>
      <c r="C46" s="2" t="s">
        <v>95</v>
      </c>
      <c r="D46" s="2" t="s">
        <v>96</v>
      </c>
      <c r="E46" s="19"/>
      <c r="F46" s="14"/>
      <c r="G46" s="19" t="s">
        <v>229</v>
      </c>
      <c r="H46" s="16" t="s">
        <v>202</v>
      </c>
      <c r="I46" s="19"/>
      <c r="J46" s="14"/>
      <c r="K46" s="19"/>
      <c r="L46" s="14"/>
      <c r="M46" s="19"/>
      <c r="N46" s="14"/>
      <c r="O46" s="19"/>
      <c r="P46" s="14"/>
      <c r="Q46" s="19"/>
      <c r="R46" s="14"/>
    </row>
    <row r="47" spans="2:18" ht="39.6" x14ac:dyDescent="0.25">
      <c r="B47" s="3" t="s">
        <v>52</v>
      </c>
      <c r="C47" s="2" t="s">
        <v>97</v>
      </c>
      <c r="D47" s="2" t="s">
        <v>98</v>
      </c>
      <c r="E47" s="19"/>
      <c r="F47" s="14"/>
      <c r="G47" s="19" t="s">
        <v>199</v>
      </c>
      <c r="H47" s="16" t="s">
        <v>202</v>
      </c>
      <c r="I47" s="19" t="s">
        <v>199</v>
      </c>
      <c r="J47" s="16" t="s">
        <v>202</v>
      </c>
      <c r="K47" s="19" t="s">
        <v>199</v>
      </c>
      <c r="L47" s="16" t="s">
        <v>202</v>
      </c>
      <c r="M47" s="19" t="s">
        <v>199</v>
      </c>
      <c r="N47" s="16" t="s">
        <v>202</v>
      </c>
      <c r="O47" s="19"/>
      <c r="P47" s="14"/>
      <c r="Q47" s="19"/>
      <c r="R47" s="14"/>
    </row>
    <row r="48" spans="2:18" ht="39.6" x14ac:dyDescent="0.25">
      <c r="B48" s="3" t="s">
        <v>52</v>
      </c>
      <c r="C48" s="2" t="s">
        <v>99</v>
      </c>
      <c r="D48" s="2" t="s">
        <v>100</v>
      </c>
      <c r="E48" s="19" t="s">
        <v>223</v>
      </c>
      <c r="F48" s="16" t="s">
        <v>202</v>
      </c>
      <c r="G48" s="19"/>
      <c r="H48" s="14"/>
      <c r="I48" s="19"/>
      <c r="J48" s="14"/>
      <c r="K48" s="19"/>
      <c r="L48" s="14"/>
      <c r="M48" s="19"/>
      <c r="N48" s="14"/>
      <c r="O48" s="19"/>
      <c r="P48" s="14"/>
      <c r="Q48" s="19"/>
      <c r="R48" s="14"/>
    </row>
    <row r="49" spans="2:18" ht="39.6" x14ac:dyDescent="0.25">
      <c r="B49" s="3" t="s">
        <v>52</v>
      </c>
      <c r="C49" s="2" t="s">
        <v>99</v>
      </c>
      <c r="D49" s="2" t="s">
        <v>101</v>
      </c>
      <c r="E49" s="19"/>
      <c r="F49" s="14"/>
      <c r="G49" s="19"/>
      <c r="H49" s="14"/>
      <c r="I49" s="19" t="s">
        <v>223</v>
      </c>
      <c r="J49" s="16" t="s">
        <v>202</v>
      </c>
      <c r="K49" s="19" t="s">
        <v>223</v>
      </c>
      <c r="L49" s="16" t="s">
        <v>202</v>
      </c>
      <c r="M49" s="19" t="s">
        <v>223</v>
      </c>
      <c r="N49" s="16" t="s">
        <v>202</v>
      </c>
      <c r="O49" s="19"/>
      <c r="P49" s="14"/>
      <c r="Q49" s="19"/>
      <c r="R49" s="14"/>
    </row>
    <row r="50" spans="2:18" ht="39.6" x14ac:dyDescent="0.25">
      <c r="B50" s="3" t="s">
        <v>52</v>
      </c>
      <c r="C50" s="2" t="s">
        <v>99</v>
      </c>
      <c r="D50" s="2" t="s">
        <v>102</v>
      </c>
      <c r="E50" s="19"/>
      <c r="F50" s="14"/>
      <c r="G50" s="19"/>
      <c r="H50" s="14"/>
      <c r="I50" s="19"/>
      <c r="J50" s="14"/>
      <c r="K50" s="19"/>
      <c r="L50" s="14"/>
      <c r="M50" s="19"/>
      <c r="N50" s="14"/>
      <c r="O50" s="19" t="s">
        <v>223</v>
      </c>
      <c r="P50" s="16" t="s">
        <v>202</v>
      </c>
      <c r="Q50" s="19"/>
      <c r="R50" s="14"/>
    </row>
    <row r="51" spans="2:18" ht="39.6" x14ac:dyDescent="0.25">
      <c r="B51" s="3" t="s">
        <v>52</v>
      </c>
      <c r="C51" s="2" t="s">
        <v>99</v>
      </c>
      <c r="D51" s="2" t="s">
        <v>103</v>
      </c>
      <c r="E51" s="19"/>
      <c r="F51" s="14"/>
      <c r="G51" s="19"/>
      <c r="H51" s="14"/>
      <c r="I51" s="19"/>
      <c r="J51" s="14"/>
      <c r="K51" s="19"/>
      <c r="L51" s="14"/>
      <c r="M51" s="19"/>
      <c r="N51" s="14"/>
      <c r="O51" s="19"/>
      <c r="P51" s="14"/>
      <c r="Q51" s="19" t="s">
        <v>223</v>
      </c>
      <c r="R51" s="16" t="s">
        <v>202</v>
      </c>
    </row>
    <row r="52" spans="2:18" ht="39.6" x14ac:dyDescent="0.25">
      <c r="B52" s="3" t="s">
        <v>104</v>
      </c>
      <c r="C52" s="2" t="s">
        <v>105</v>
      </c>
      <c r="D52" s="2" t="s">
        <v>106</v>
      </c>
      <c r="E52" s="19" t="s">
        <v>230</v>
      </c>
      <c r="F52" s="16" t="s">
        <v>202</v>
      </c>
      <c r="G52" s="19"/>
      <c r="H52" s="14"/>
      <c r="I52" s="19"/>
      <c r="J52" s="14"/>
      <c r="K52" s="19"/>
      <c r="L52" s="14"/>
      <c r="M52" s="19"/>
      <c r="N52" s="14"/>
      <c r="O52" s="19"/>
      <c r="P52" s="14"/>
      <c r="Q52" s="19"/>
      <c r="R52" s="14"/>
    </row>
    <row r="53" spans="2:18" ht="39.6" x14ac:dyDescent="0.25">
      <c r="B53" s="3" t="s">
        <v>104</v>
      </c>
      <c r="C53" s="2" t="s">
        <v>105</v>
      </c>
      <c r="D53" s="2" t="s">
        <v>107</v>
      </c>
      <c r="E53" s="19"/>
      <c r="F53" s="14"/>
      <c r="G53" s="19" t="s">
        <v>189</v>
      </c>
      <c r="H53" s="16" t="s">
        <v>202</v>
      </c>
      <c r="I53" s="19" t="s">
        <v>189</v>
      </c>
      <c r="J53" s="16" t="s">
        <v>202</v>
      </c>
      <c r="K53" s="19" t="s">
        <v>189</v>
      </c>
      <c r="L53" s="16" t="s">
        <v>202</v>
      </c>
      <c r="M53" s="19" t="s">
        <v>189</v>
      </c>
      <c r="N53" s="16" t="s">
        <v>202</v>
      </c>
      <c r="O53" s="19" t="s">
        <v>189</v>
      </c>
      <c r="P53" s="16" t="s">
        <v>202</v>
      </c>
      <c r="Q53" s="19" t="s">
        <v>189</v>
      </c>
      <c r="R53" s="16" t="s">
        <v>202</v>
      </c>
    </row>
    <row r="54" spans="2:18" x14ac:dyDescent="0.25">
      <c r="B54" s="3" t="s">
        <v>104</v>
      </c>
      <c r="C54" s="2" t="s">
        <v>108</v>
      </c>
      <c r="D54" s="2" t="s">
        <v>109</v>
      </c>
      <c r="E54" s="19"/>
      <c r="F54" s="14"/>
      <c r="G54" s="19" t="s">
        <v>189</v>
      </c>
      <c r="H54" s="37" t="s">
        <v>231</v>
      </c>
      <c r="I54" s="19" t="s">
        <v>189</v>
      </c>
      <c r="J54" s="14" t="s">
        <v>231</v>
      </c>
      <c r="K54" s="19" t="s">
        <v>189</v>
      </c>
      <c r="L54" s="14" t="s">
        <v>231</v>
      </c>
      <c r="M54" s="19" t="s">
        <v>189</v>
      </c>
      <c r="N54" s="14" t="s">
        <v>231</v>
      </c>
      <c r="O54" s="19"/>
      <c r="P54" s="14"/>
      <c r="Q54" s="19" t="s">
        <v>189</v>
      </c>
      <c r="R54" s="37" t="s">
        <v>231</v>
      </c>
    </row>
    <row r="55" spans="2:18" x14ac:dyDescent="0.25">
      <c r="B55" s="3" t="s">
        <v>104</v>
      </c>
      <c r="C55" s="2" t="s">
        <v>108</v>
      </c>
      <c r="D55" s="2" t="s">
        <v>110</v>
      </c>
      <c r="E55" s="19" t="s">
        <v>230</v>
      </c>
      <c r="F55" s="32" t="s">
        <v>231</v>
      </c>
      <c r="G55" s="19"/>
      <c r="H55" s="14"/>
      <c r="I55" s="19"/>
      <c r="J55" s="14"/>
      <c r="K55" s="19"/>
      <c r="L55" s="14"/>
      <c r="M55" s="19"/>
      <c r="N55" s="14"/>
      <c r="O55" s="19"/>
      <c r="P55" s="14"/>
      <c r="Q55" s="19"/>
      <c r="R55" s="14"/>
    </row>
    <row r="56" spans="2:18" x14ac:dyDescent="0.25">
      <c r="B56" s="3" t="s">
        <v>104</v>
      </c>
      <c r="C56" s="2" t="s">
        <v>108</v>
      </c>
      <c r="D56" s="2" t="s">
        <v>111</v>
      </c>
      <c r="E56" s="19"/>
      <c r="F56" s="14"/>
      <c r="G56" s="19"/>
      <c r="H56" s="14"/>
      <c r="I56" s="19"/>
      <c r="J56" s="14"/>
      <c r="K56" s="19"/>
      <c r="L56" s="14"/>
      <c r="M56" s="19"/>
      <c r="N56" s="14"/>
      <c r="O56" s="19" t="s">
        <v>230</v>
      </c>
      <c r="P56" s="14" t="s">
        <v>231</v>
      </c>
      <c r="Q56" s="19"/>
      <c r="R56" s="14"/>
    </row>
    <row r="57" spans="2:18" ht="39.6" x14ac:dyDescent="0.25">
      <c r="B57" s="3" t="s">
        <v>104</v>
      </c>
      <c r="C57" s="2" t="s">
        <v>112</v>
      </c>
      <c r="D57" s="2" t="s">
        <v>113</v>
      </c>
      <c r="E57" s="19" t="s">
        <v>230</v>
      </c>
      <c r="F57" s="16" t="s">
        <v>202</v>
      </c>
      <c r="G57" s="19"/>
      <c r="H57" s="14"/>
      <c r="I57" s="19"/>
      <c r="J57" s="14"/>
      <c r="K57" s="19"/>
      <c r="L57" s="14"/>
      <c r="M57" s="19"/>
      <c r="N57" s="14"/>
      <c r="O57" s="19"/>
      <c r="P57" s="14"/>
      <c r="Q57" s="19"/>
      <c r="R57" s="14"/>
    </row>
    <row r="58" spans="2:18" ht="39.6" x14ac:dyDescent="0.25">
      <c r="B58" s="3" t="s">
        <v>104</v>
      </c>
      <c r="C58" s="2" t="s">
        <v>112</v>
      </c>
      <c r="D58" s="2" t="s">
        <v>114</v>
      </c>
      <c r="E58" s="19"/>
      <c r="F58" s="14"/>
      <c r="G58" s="19" t="s">
        <v>230</v>
      </c>
      <c r="H58" s="16" t="s">
        <v>202</v>
      </c>
      <c r="I58" s="19"/>
      <c r="J58" s="14"/>
      <c r="K58" s="19"/>
      <c r="L58" s="14"/>
      <c r="M58" s="19"/>
      <c r="N58" s="14"/>
      <c r="O58" s="19"/>
      <c r="P58" s="14"/>
      <c r="Q58" s="19"/>
      <c r="R58" s="14"/>
    </row>
    <row r="59" spans="2:18" ht="39.6" x14ac:dyDescent="0.25">
      <c r="B59" s="3" t="s">
        <v>104</v>
      </c>
      <c r="C59" s="2" t="s">
        <v>112</v>
      </c>
      <c r="D59" s="2" t="s">
        <v>115</v>
      </c>
      <c r="E59" s="19"/>
      <c r="F59" s="14"/>
      <c r="G59" s="19"/>
      <c r="H59" s="14"/>
      <c r="I59" s="19" t="s">
        <v>189</v>
      </c>
      <c r="J59" s="16" t="s">
        <v>202</v>
      </c>
      <c r="K59" s="19" t="s">
        <v>189</v>
      </c>
      <c r="L59" s="16" t="s">
        <v>202</v>
      </c>
      <c r="M59" s="19" t="s">
        <v>189</v>
      </c>
      <c r="N59" s="16" t="s">
        <v>202</v>
      </c>
      <c r="O59" s="19" t="s">
        <v>189</v>
      </c>
      <c r="P59" s="16" t="s">
        <v>202</v>
      </c>
      <c r="Q59" s="19" t="s">
        <v>189</v>
      </c>
      <c r="R59" s="16" t="s">
        <v>202</v>
      </c>
    </row>
    <row r="60" spans="2:18" ht="39.6" x14ac:dyDescent="0.25">
      <c r="B60" s="3" t="s">
        <v>104</v>
      </c>
      <c r="C60" s="2" t="s">
        <v>116</v>
      </c>
      <c r="D60" s="2" t="s">
        <v>117</v>
      </c>
      <c r="E60" s="19"/>
      <c r="F60" s="14"/>
      <c r="G60" s="19"/>
      <c r="H60" s="14"/>
      <c r="I60" s="19" t="s">
        <v>189</v>
      </c>
      <c r="J60" s="16" t="s">
        <v>202</v>
      </c>
      <c r="K60" s="19" t="s">
        <v>189</v>
      </c>
      <c r="L60" s="16" t="s">
        <v>202</v>
      </c>
      <c r="M60" s="19" t="s">
        <v>189</v>
      </c>
      <c r="N60" s="16" t="s">
        <v>202</v>
      </c>
      <c r="O60" s="19" t="s">
        <v>189</v>
      </c>
      <c r="P60" s="16" t="s">
        <v>202</v>
      </c>
      <c r="Q60" s="19"/>
      <c r="R60" s="16"/>
    </row>
    <row r="61" spans="2:18" ht="39.6" x14ac:dyDescent="0.25">
      <c r="B61" s="3" t="s">
        <v>104</v>
      </c>
      <c r="C61" s="2" t="s">
        <v>118</v>
      </c>
      <c r="D61" s="2" t="s">
        <v>119</v>
      </c>
      <c r="E61" s="19" t="s">
        <v>230</v>
      </c>
      <c r="F61" s="16" t="s">
        <v>202</v>
      </c>
      <c r="G61" s="19" t="s">
        <v>230</v>
      </c>
      <c r="H61" s="16" t="s">
        <v>202</v>
      </c>
      <c r="I61" s="19"/>
      <c r="J61" s="14"/>
      <c r="K61" s="19"/>
      <c r="L61" s="14"/>
      <c r="M61" s="19"/>
      <c r="N61" s="14"/>
      <c r="O61" s="19"/>
      <c r="P61" s="14"/>
      <c r="Q61" s="19" t="s">
        <v>230</v>
      </c>
      <c r="R61" s="16" t="s">
        <v>202</v>
      </c>
    </row>
    <row r="62" spans="2:18" ht="39.6" x14ac:dyDescent="0.25">
      <c r="B62" s="3" t="s">
        <v>104</v>
      </c>
      <c r="C62" s="2" t="s">
        <v>120</v>
      </c>
      <c r="D62" s="2" t="s">
        <v>121</v>
      </c>
      <c r="E62" s="19"/>
      <c r="F62" s="14"/>
      <c r="G62" s="19" t="s">
        <v>230</v>
      </c>
      <c r="H62" s="16" t="s">
        <v>202</v>
      </c>
      <c r="I62" s="19"/>
      <c r="J62" s="14"/>
      <c r="K62" s="19"/>
      <c r="L62" s="14"/>
      <c r="M62" s="19"/>
      <c r="N62" s="14"/>
      <c r="O62" s="19"/>
      <c r="P62" s="14"/>
      <c r="Q62" s="19" t="s">
        <v>230</v>
      </c>
      <c r="R62" s="16" t="s">
        <v>202</v>
      </c>
    </row>
    <row r="63" spans="2:18" ht="39.6" x14ac:dyDescent="0.25">
      <c r="B63" s="3" t="s">
        <v>104</v>
      </c>
      <c r="C63" s="2" t="s">
        <v>122</v>
      </c>
      <c r="D63" s="2" t="s">
        <v>123</v>
      </c>
      <c r="E63" s="19"/>
      <c r="F63" s="14"/>
      <c r="G63" s="19" t="s">
        <v>189</v>
      </c>
      <c r="H63" s="16" t="s">
        <v>202</v>
      </c>
      <c r="I63" s="19"/>
      <c r="J63" s="14"/>
      <c r="K63" s="19"/>
      <c r="L63" s="14"/>
      <c r="M63" s="19"/>
      <c r="N63" s="14"/>
      <c r="O63" s="19"/>
      <c r="P63" s="14"/>
      <c r="Q63" s="19"/>
      <c r="R63" s="16"/>
    </row>
    <row r="64" spans="2:18" ht="39.6" x14ac:dyDescent="0.25">
      <c r="B64" s="3" t="s">
        <v>104</v>
      </c>
      <c r="C64" s="2" t="s">
        <v>124</v>
      </c>
      <c r="D64" s="2" t="s">
        <v>125</v>
      </c>
      <c r="E64" s="19" t="s">
        <v>189</v>
      </c>
      <c r="F64" s="16" t="s">
        <v>202</v>
      </c>
      <c r="G64" s="19"/>
      <c r="H64" s="14"/>
      <c r="I64" s="19"/>
      <c r="J64" s="14"/>
      <c r="K64" s="19"/>
      <c r="L64" s="14"/>
      <c r="M64" s="19"/>
      <c r="N64" s="14"/>
      <c r="O64" s="19"/>
      <c r="P64" s="14"/>
      <c r="Q64" s="19"/>
      <c r="R64" s="16"/>
    </row>
    <row r="65" spans="2:18" ht="39.6" x14ac:dyDescent="0.25">
      <c r="B65" s="3" t="s">
        <v>104</v>
      </c>
      <c r="C65" s="2" t="s">
        <v>126</v>
      </c>
      <c r="D65" s="2" t="s">
        <v>127</v>
      </c>
      <c r="E65" s="19"/>
      <c r="F65" s="14"/>
      <c r="G65" s="19"/>
      <c r="H65" s="14"/>
      <c r="I65" s="19" t="s">
        <v>230</v>
      </c>
      <c r="J65" s="16" t="s">
        <v>202</v>
      </c>
      <c r="K65" s="19" t="s">
        <v>230</v>
      </c>
      <c r="L65" s="16" t="s">
        <v>202</v>
      </c>
      <c r="M65" s="19" t="s">
        <v>230</v>
      </c>
      <c r="N65" s="16" t="s">
        <v>202</v>
      </c>
      <c r="O65" s="19" t="s">
        <v>230</v>
      </c>
      <c r="P65" s="16" t="s">
        <v>202</v>
      </c>
      <c r="Q65" s="19"/>
      <c r="R65" s="16"/>
    </row>
    <row r="66" spans="2:18" ht="39.6" x14ac:dyDescent="0.25">
      <c r="B66" s="3" t="s">
        <v>104</v>
      </c>
      <c r="C66" s="2" t="s">
        <v>128</v>
      </c>
      <c r="D66" s="2" t="s">
        <v>129</v>
      </c>
      <c r="E66" s="19" t="s">
        <v>230</v>
      </c>
      <c r="F66" s="16" t="s">
        <v>202</v>
      </c>
      <c r="G66" s="19" t="s">
        <v>230</v>
      </c>
      <c r="H66" s="16" t="s">
        <v>202</v>
      </c>
      <c r="I66" s="19"/>
      <c r="J66" s="14"/>
      <c r="K66" s="19"/>
      <c r="L66" s="14"/>
      <c r="M66" s="19"/>
      <c r="N66" s="14"/>
      <c r="O66" s="19"/>
      <c r="P66" s="14"/>
      <c r="Q66" s="19" t="s">
        <v>230</v>
      </c>
      <c r="R66" s="16" t="s">
        <v>202</v>
      </c>
    </row>
    <row r="67" spans="2:18" ht="39.6" x14ac:dyDescent="0.25">
      <c r="B67" s="3" t="s">
        <v>104</v>
      </c>
      <c r="C67" s="2" t="s">
        <v>130</v>
      </c>
      <c r="D67" s="2" t="s">
        <v>131</v>
      </c>
      <c r="E67" s="19"/>
      <c r="F67" s="14"/>
      <c r="G67" s="19" t="s">
        <v>230</v>
      </c>
      <c r="H67" s="16" t="s">
        <v>202</v>
      </c>
      <c r="I67" s="19"/>
      <c r="J67" s="14"/>
      <c r="K67" s="19"/>
      <c r="L67" s="14"/>
      <c r="M67" s="19"/>
      <c r="N67" s="14"/>
      <c r="O67" s="19"/>
      <c r="P67" s="14"/>
      <c r="Q67" s="19" t="s">
        <v>230</v>
      </c>
      <c r="R67" s="16" t="s">
        <v>202</v>
      </c>
    </row>
    <row r="68" spans="2:18" ht="39.6" x14ac:dyDescent="0.25">
      <c r="B68" s="3" t="s">
        <v>104</v>
      </c>
      <c r="C68" s="2" t="s">
        <v>132</v>
      </c>
      <c r="D68" s="2" t="s">
        <v>133</v>
      </c>
      <c r="E68" s="19" t="s">
        <v>230</v>
      </c>
      <c r="F68" s="16" t="s">
        <v>202</v>
      </c>
      <c r="G68" s="19"/>
      <c r="H68" s="14"/>
      <c r="I68" s="19"/>
      <c r="J68" s="14"/>
      <c r="K68" s="19"/>
      <c r="L68" s="14"/>
      <c r="M68" s="19"/>
      <c r="N68" s="14"/>
      <c r="O68" s="19"/>
      <c r="P68" s="14"/>
      <c r="Q68" s="19"/>
      <c r="R68" s="16"/>
    </row>
    <row r="69" spans="2:18" ht="39.6" x14ac:dyDescent="0.25">
      <c r="B69" s="3" t="s">
        <v>104</v>
      </c>
      <c r="C69" s="2" t="s">
        <v>134</v>
      </c>
      <c r="D69" s="2" t="s">
        <v>135</v>
      </c>
      <c r="E69" s="19"/>
      <c r="F69" s="14"/>
      <c r="G69" s="19"/>
      <c r="H69" s="14"/>
      <c r="I69" s="19" t="s">
        <v>230</v>
      </c>
      <c r="J69" s="16" t="s">
        <v>202</v>
      </c>
      <c r="K69" s="19" t="s">
        <v>230</v>
      </c>
      <c r="L69" s="16" t="s">
        <v>202</v>
      </c>
      <c r="M69" s="19" t="s">
        <v>230</v>
      </c>
      <c r="N69" s="16" t="s">
        <v>202</v>
      </c>
      <c r="O69" s="19" t="s">
        <v>230</v>
      </c>
      <c r="P69" s="16" t="s">
        <v>202</v>
      </c>
      <c r="Q69" s="19"/>
      <c r="R69" s="16"/>
    </row>
    <row r="70" spans="2:18" ht="39.6" x14ac:dyDescent="0.25">
      <c r="B70" s="3" t="s">
        <v>104</v>
      </c>
      <c r="C70" s="2" t="s">
        <v>136</v>
      </c>
      <c r="D70" s="2" t="s">
        <v>137</v>
      </c>
      <c r="E70" s="19"/>
      <c r="F70" s="14"/>
      <c r="G70" s="19" t="s">
        <v>189</v>
      </c>
      <c r="H70" s="16" t="s">
        <v>202</v>
      </c>
      <c r="I70" s="19"/>
      <c r="J70" s="14"/>
      <c r="K70" s="19"/>
      <c r="L70" s="14"/>
      <c r="M70" s="19"/>
      <c r="N70" s="14"/>
      <c r="O70" s="19"/>
      <c r="P70" s="14"/>
      <c r="Q70" s="19"/>
      <c r="R70" s="16"/>
    </row>
    <row r="71" spans="2:18" ht="39.6" x14ac:dyDescent="0.25">
      <c r="B71" s="3" t="s">
        <v>104</v>
      </c>
      <c r="C71" s="2" t="s">
        <v>136</v>
      </c>
      <c r="D71" s="2" t="s">
        <v>138</v>
      </c>
      <c r="E71" s="19"/>
      <c r="F71" s="14"/>
      <c r="G71" s="19"/>
      <c r="H71" s="14"/>
      <c r="I71" s="19"/>
      <c r="J71" s="14"/>
      <c r="K71" s="19"/>
      <c r="L71" s="14"/>
      <c r="M71" s="19"/>
      <c r="N71" s="14"/>
      <c r="O71" s="19"/>
      <c r="P71" s="14"/>
      <c r="Q71" s="19" t="s">
        <v>189</v>
      </c>
      <c r="R71" s="16" t="s">
        <v>202</v>
      </c>
    </row>
    <row r="72" spans="2:18" ht="39.6" x14ac:dyDescent="0.25">
      <c r="B72" s="3" t="s">
        <v>104</v>
      </c>
      <c r="C72" s="2" t="s">
        <v>139</v>
      </c>
      <c r="D72" s="2" t="s">
        <v>140</v>
      </c>
      <c r="E72" s="19" t="s">
        <v>230</v>
      </c>
      <c r="F72" s="16" t="s">
        <v>202</v>
      </c>
      <c r="G72" s="19"/>
      <c r="H72" s="14"/>
      <c r="I72" s="19"/>
      <c r="J72" s="14"/>
      <c r="K72" s="19"/>
      <c r="L72" s="14"/>
      <c r="M72" s="19"/>
      <c r="N72" s="14"/>
      <c r="O72" s="19"/>
      <c r="P72" s="14"/>
      <c r="Q72" s="19"/>
      <c r="R72" s="16"/>
    </row>
    <row r="73" spans="2:18" ht="39.6" x14ac:dyDescent="0.25">
      <c r="B73" s="3" t="s">
        <v>104</v>
      </c>
      <c r="C73" s="2" t="s">
        <v>139</v>
      </c>
      <c r="D73" s="2" t="s">
        <v>141</v>
      </c>
      <c r="E73" s="19"/>
      <c r="F73" s="14"/>
      <c r="G73" s="19"/>
      <c r="H73" s="14"/>
      <c r="I73" s="19"/>
      <c r="J73" s="14"/>
      <c r="K73" s="19"/>
      <c r="L73" s="14"/>
      <c r="M73" s="19"/>
      <c r="N73" s="14"/>
      <c r="O73" s="19" t="s">
        <v>189</v>
      </c>
      <c r="P73" s="16" t="s">
        <v>202</v>
      </c>
      <c r="Q73" s="19"/>
      <c r="R73" s="16"/>
    </row>
    <row r="74" spans="2:18" ht="39.6" x14ac:dyDescent="0.25">
      <c r="B74" s="3" t="s">
        <v>104</v>
      </c>
      <c r="C74" s="2" t="s">
        <v>142</v>
      </c>
      <c r="D74" s="2" t="s">
        <v>143</v>
      </c>
      <c r="E74" s="19" t="s">
        <v>230</v>
      </c>
      <c r="F74" s="16" t="s">
        <v>202</v>
      </c>
      <c r="G74" s="19"/>
      <c r="H74" s="14"/>
      <c r="I74" s="19"/>
      <c r="J74" s="14"/>
      <c r="K74" s="19"/>
      <c r="L74" s="14"/>
      <c r="M74" s="19"/>
      <c r="N74" s="14"/>
      <c r="O74" s="19"/>
      <c r="P74" s="14"/>
      <c r="Q74" s="19"/>
      <c r="R74" s="16"/>
    </row>
    <row r="75" spans="2:18" ht="39.6" x14ac:dyDescent="0.25">
      <c r="B75" s="3" t="s">
        <v>104</v>
      </c>
      <c r="C75" s="2" t="s">
        <v>144</v>
      </c>
      <c r="D75" s="2" t="s">
        <v>145</v>
      </c>
      <c r="E75" s="19"/>
      <c r="F75" s="14"/>
      <c r="G75" s="19"/>
      <c r="H75" s="14"/>
      <c r="I75" s="19"/>
      <c r="J75" s="14"/>
      <c r="K75" s="19"/>
      <c r="L75" s="14"/>
      <c r="M75" s="19"/>
      <c r="N75" s="14"/>
      <c r="O75" s="19" t="s">
        <v>230</v>
      </c>
      <c r="P75" s="16" t="s">
        <v>202</v>
      </c>
      <c r="Q75" s="19" t="s">
        <v>230</v>
      </c>
      <c r="R75" s="16" t="s">
        <v>202</v>
      </c>
    </row>
    <row r="76" spans="2:18" ht="39.6" x14ac:dyDescent="0.25">
      <c r="B76" s="3" t="s">
        <v>104</v>
      </c>
      <c r="C76" s="2" t="s">
        <v>146</v>
      </c>
      <c r="D76" s="2" t="s">
        <v>147</v>
      </c>
      <c r="E76" s="19"/>
      <c r="F76" s="14"/>
      <c r="G76" s="19"/>
      <c r="H76" s="14"/>
      <c r="I76" s="19"/>
      <c r="J76" s="14"/>
      <c r="K76" s="19"/>
      <c r="L76" s="14"/>
      <c r="M76" s="19"/>
      <c r="N76" s="14"/>
      <c r="O76" s="19"/>
      <c r="P76" s="14"/>
      <c r="Q76" s="19" t="s">
        <v>230</v>
      </c>
      <c r="R76" s="16" t="s">
        <v>202</v>
      </c>
    </row>
    <row r="77" spans="2:18" ht="39.6" x14ac:dyDescent="0.25">
      <c r="B77" s="3" t="s">
        <v>104</v>
      </c>
      <c r="C77" s="2" t="s">
        <v>148</v>
      </c>
      <c r="D77" s="2" t="s">
        <v>149</v>
      </c>
      <c r="E77" s="19" t="s">
        <v>230</v>
      </c>
      <c r="F77" s="16" t="s">
        <v>202</v>
      </c>
      <c r="G77" s="19"/>
      <c r="H77" s="14"/>
      <c r="I77" s="19"/>
      <c r="J77" s="14"/>
      <c r="K77" s="19"/>
      <c r="L77" s="14"/>
      <c r="M77" s="19"/>
      <c r="N77" s="14"/>
      <c r="O77" s="19"/>
      <c r="P77" s="14"/>
      <c r="Q77" s="19"/>
      <c r="R77" s="16"/>
    </row>
    <row r="78" spans="2:18" ht="39.6" x14ac:dyDescent="0.25">
      <c r="B78" s="3" t="s">
        <v>104</v>
      </c>
      <c r="C78" s="2" t="s">
        <v>150</v>
      </c>
      <c r="D78" s="2" t="s">
        <v>151</v>
      </c>
      <c r="E78" s="19"/>
      <c r="F78" s="14"/>
      <c r="G78" s="19" t="s">
        <v>230</v>
      </c>
      <c r="H78" s="16" t="s">
        <v>202</v>
      </c>
      <c r="I78" s="19"/>
      <c r="J78" s="14"/>
      <c r="K78" s="19"/>
      <c r="L78" s="14"/>
      <c r="M78" s="19"/>
      <c r="N78" s="14"/>
      <c r="O78" s="19"/>
      <c r="P78" s="14"/>
      <c r="Q78" s="19"/>
      <c r="R78" s="16"/>
    </row>
    <row r="79" spans="2:18" ht="39.6" x14ac:dyDescent="0.25">
      <c r="B79" s="3" t="s">
        <v>104</v>
      </c>
      <c r="C79" s="2" t="s">
        <v>152</v>
      </c>
      <c r="D79" s="2" t="s">
        <v>153</v>
      </c>
      <c r="E79" s="19"/>
      <c r="F79" s="14"/>
      <c r="G79" s="19"/>
      <c r="H79" s="14"/>
      <c r="I79" s="19"/>
      <c r="J79" s="14"/>
      <c r="K79" s="19"/>
      <c r="L79" s="14"/>
      <c r="M79" s="19"/>
      <c r="N79" s="14"/>
      <c r="O79" s="19"/>
      <c r="P79" s="14"/>
      <c r="Q79" s="19" t="s">
        <v>230</v>
      </c>
      <c r="R79" s="16" t="s">
        <v>202</v>
      </c>
    </row>
    <row r="80" spans="2:18" ht="39.6" x14ac:dyDescent="0.25">
      <c r="B80" s="3" t="s">
        <v>104</v>
      </c>
      <c r="C80" s="2" t="s">
        <v>154</v>
      </c>
      <c r="D80" s="2" t="s">
        <v>155</v>
      </c>
      <c r="E80" s="19"/>
      <c r="F80" s="14"/>
      <c r="G80" s="19" t="s">
        <v>230</v>
      </c>
      <c r="H80" s="16" t="s">
        <v>202</v>
      </c>
      <c r="I80" s="19"/>
      <c r="J80" s="14"/>
      <c r="K80" s="19"/>
      <c r="L80" s="14"/>
      <c r="M80" s="19"/>
      <c r="N80" s="14"/>
      <c r="O80" s="19"/>
      <c r="P80" s="14"/>
      <c r="Q80" s="19"/>
      <c r="R80" s="14"/>
    </row>
    <row r="81" spans="1:18" ht="39.6" x14ac:dyDescent="0.25">
      <c r="B81" s="3" t="s">
        <v>104</v>
      </c>
      <c r="C81" s="2" t="s">
        <v>156</v>
      </c>
      <c r="D81" s="2" t="s">
        <v>157</v>
      </c>
      <c r="E81" s="19" t="s">
        <v>230</v>
      </c>
      <c r="F81" s="16" t="s">
        <v>202</v>
      </c>
      <c r="G81" s="19"/>
      <c r="H81" s="14"/>
      <c r="I81" s="19"/>
      <c r="J81" s="14"/>
      <c r="K81" s="19"/>
      <c r="L81" s="14"/>
      <c r="M81" s="19"/>
      <c r="N81" s="14"/>
      <c r="O81" s="19"/>
      <c r="P81" s="14"/>
      <c r="Q81" s="19"/>
      <c r="R81" s="14"/>
    </row>
    <row r="82" spans="1:18" x14ac:dyDescent="0.25">
      <c r="B82"/>
      <c r="C82"/>
    </row>
    <row r="83" spans="1:18" ht="13.8" thickBot="1" x14ac:dyDescent="0.3">
      <c r="B83"/>
      <c r="C83"/>
    </row>
    <row r="84" spans="1:18" ht="24" customHeight="1" thickBot="1" x14ac:dyDescent="0.3">
      <c r="B84" s="45" t="s">
        <v>232</v>
      </c>
      <c r="C84" s="45"/>
      <c r="D84" s="46"/>
      <c r="E84" s="13"/>
      <c r="F84" s="8" t="s">
        <v>5</v>
      </c>
      <c r="G84" s="8"/>
      <c r="H84" s="8" t="s">
        <v>7</v>
      </c>
      <c r="I84" s="8"/>
      <c r="J84" s="8" t="s">
        <v>9</v>
      </c>
      <c r="K84" s="8"/>
      <c r="L84" s="8" t="s">
        <v>11</v>
      </c>
      <c r="M84" s="8"/>
      <c r="N84" s="8" t="s">
        <v>13</v>
      </c>
      <c r="O84" s="8"/>
      <c r="P84" s="8" t="s">
        <v>15</v>
      </c>
      <c r="Q84" s="8"/>
      <c r="R84" s="8" t="s">
        <v>17</v>
      </c>
    </row>
    <row r="85" spans="1:18" ht="26.25" customHeight="1" thickTop="1" x14ac:dyDescent="0.25">
      <c r="B85" s="43" t="s">
        <v>233</v>
      </c>
      <c r="C85" s="43"/>
      <c r="D85" s="43"/>
      <c r="E85" s="25"/>
      <c r="F85" s="34" t="s">
        <v>234</v>
      </c>
      <c r="G85" s="25"/>
      <c r="H85" s="34" t="s">
        <v>234</v>
      </c>
      <c r="I85" s="25"/>
      <c r="J85" s="17" t="s">
        <v>234</v>
      </c>
      <c r="K85" s="25"/>
      <c r="L85" s="17" t="s">
        <v>234</v>
      </c>
      <c r="M85" s="25"/>
      <c r="N85" s="17" t="s">
        <v>234</v>
      </c>
      <c r="O85" s="25"/>
      <c r="P85" s="17" t="s">
        <v>234</v>
      </c>
      <c r="Q85" s="25"/>
      <c r="R85" s="38" t="s">
        <v>234</v>
      </c>
    </row>
    <row r="86" spans="1:18" ht="26.25" customHeight="1" x14ac:dyDescent="0.25">
      <c r="B86" s="42" t="s">
        <v>235</v>
      </c>
      <c r="C86" s="42"/>
      <c r="D86" s="42"/>
      <c r="E86" s="23"/>
      <c r="F86" s="34" t="s">
        <v>234</v>
      </c>
      <c r="G86" s="23"/>
      <c r="H86" s="34" t="s">
        <v>234</v>
      </c>
      <c r="I86" s="23"/>
      <c r="J86" s="17" t="s">
        <v>234</v>
      </c>
      <c r="K86" s="23"/>
      <c r="L86" s="17" t="s">
        <v>234</v>
      </c>
      <c r="M86" s="23"/>
      <c r="N86" s="17" t="s">
        <v>234</v>
      </c>
      <c r="O86" s="23"/>
      <c r="P86" s="17" t="s">
        <v>234</v>
      </c>
      <c r="Q86" s="23"/>
      <c r="R86" s="38" t="s">
        <v>234</v>
      </c>
    </row>
    <row r="87" spans="1:18" x14ac:dyDescent="0.25">
      <c r="B87" s="28" t="s">
        <v>236</v>
      </c>
      <c r="C87" s="28"/>
      <c r="D87" s="28"/>
      <c r="E87" s="23"/>
      <c r="F87" s="34" t="s">
        <v>231</v>
      </c>
      <c r="G87" s="23"/>
      <c r="H87" s="34" t="s">
        <v>231</v>
      </c>
      <c r="I87" s="23"/>
      <c r="J87" s="17" t="s">
        <v>231</v>
      </c>
      <c r="K87" s="23"/>
      <c r="L87" s="17" t="s">
        <v>231</v>
      </c>
      <c r="M87" s="23"/>
      <c r="N87" s="17" t="s">
        <v>231</v>
      </c>
      <c r="O87" s="23"/>
      <c r="P87" s="17" t="s">
        <v>231</v>
      </c>
      <c r="Q87" s="23"/>
      <c r="R87" s="38" t="s">
        <v>231</v>
      </c>
    </row>
    <row r="88" spans="1:18" ht="26.4" x14ac:dyDescent="0.25">
      <c r="A88" s="2"/>
      <c r="B88" s="42" t="s">
        <v>237</v>
      </c>
      <c r="C88" s="42"/>
      <c r="D88" s="42"/>
      <c r="E88" s="23"/>
      <c r="F88" s="17"/>
      <c r="G88" s="23"/>
      <c r="H88" s="17"/>
      <c r="I88" s="23"/>
      <c r="J88" s="17"/>
      <c r="K88" s="23"/>
      <c r="L88" s="17"/>
      <c r="M88" s="23"/>
      <c r="N88" s="17"/>
      <c r="O88" s="23" t="s">
        <v>174</v>
      </c>
      <c r="P88" s="17" t="s">
        <v>238</v>
      </c>
      <c r="Q88" s="23" t="s">
        <v>174</v>
      </c>
      <c r="R88" s="24" t="s">
        <v>238</v>
      </c>
    </row>
    <row r="89" spans="1:18" x14ac:dyDescent="0.25">
      <c r="A89" s="2"/>
      <c r="B89" s="28" t="s">
        <v>239</v>
      </c>
      <c r="C89" s="28"/>
      <c r="D89" s="28"/>
      <c r="E89" s="23"/>
      <c r="F89" s="34" t="s">
        <v>231</v>
      </c>
      <c r="G89" s="23"/>
      <c r="H89" s="17"/>
      <c r="I89" s="23"/>
      <c r="J89" s="17"/>
      <c r="K89" s="23"/>
      <c r="L89" s="17"/>
      <c r="M89" s="23"/>
      <c r="N89" s="17"/>
      <c r="O89" s="23"/>
      <c r="P89" s="17"/>
      <c r="Q89" s="23"/>
      <c r="R89" s="24"/>
    </row>
    <row r="90" spans="1:18" x14ac:dyDescent="0.25">
      <c r="A90" s="2"/>
      <c r="B90" s="42" t="s">
        <v>240</v>
      </c>
      <c r="C90" s="42"/>
      <c r="D90" s="42"/>
      <c r="E90" s="23"/>
      <c r="F90" s="17"/>
      <c r="G90" s="23"/>
      <c r="H90" s="34" t="s">
        <v>231</v>
      </c>
      <c r="I90" s="23"/>
      <c r="J90" s="17" t="s">
        <v>231</v>
      </c>
      <c r="K90" s="23"/>
      <c r="L90" s="17" t="s">
        <v>231</v>
      </c>
      <c r="M90" s="23"/>
      <c r="N90" s="17" t="s">
        <v>231</v>
      </c>
      <c r="O90" s="23"/>
      <c r="P90" s="17" t="s">
        <v>231</v>
      </c>
      <c r="Q90" s="23"/>
      <c r="R90" s="38" t="s">
        <v>234</v>
      </c>
    </row>
    <row r="91" spans="1:18" x14ac:dyDescent="0.25">
      <c r="A91" s="2"/>
      <c r="B91" s="42" t="s">
        <v>241</v>
      </c>
      <c r="C91" s="42"/>
      <c r="D91" s="42"/>
      <c r="E91" s="23"/>
      <c r="F91" s="34" t="s">
        <v>231</v>
      </c>
      <c r="G91" s="23"/>
      <c r="H91" s="34" t="s">
        <v>231</v>
      </c>
      <c r="I91" s="23"/>
      <c r="J91" s="17" t="s">
        <v>231</v>
      </c>
      <c r="K91" s="23"/>
      <c r="L91" s="17" t="s">
        <v>231</v>
      </c>
      <c r="M91" s="23"/>
      <c r="N91" s="17" t="s">
        <v>231</v>
      </c>
      <c r="O91" s="23"/>
      <c r="P91" s="17" t="s">
        <v>231</v>
      </c>
      <c r="Q91" s="23"/>
      <c r="R91" s="38" t="s">
        <v>234</v>
      </c>
    </row>
    <row r="92" spans="1:18" ht="27.75" customHeight="1" x14ac:dyDescent="0.25">
      <c r="A92" s="2"/>
      <c r="B92" s="42" t="s">
        <v>242</v>
      </c>
      <c r="C92" s="42"/>
      <c r="D92" s="42"/>
      <c r="E92" s="23"/>
      <c r="F92" s="17"/>
      <c r="G92" s="23"/>
      <c r="H92" s="34" t="s">
        <v>231</v>
      </c>
      <c r="I92" s="23"/>
      <c r="J92" s="17" t="s">
        <v>231</v>
      </c>
      <c r="K92" s="23"/>
      <c r="L92" s="17" t="s">
        <v>231</v>
      </c>
      <c r="M92" s="23"/>
      <c r="N92" s="17" t="s">
        <v>231</v>
      </c>
      <c r="O92" s="23"/>
      <c r="P92" s="17" t="s">
        <v>231</v>
      </c>
      <c r="Q92" s="23"/>
      <c r="R92" s="24"/>
    </row>
    <row r="93" spans="1:18" ht="66" x14ac:dyDescent="0.25">
      <c r="A93" s="2"/>
      <c r="B93" s="42" t="s">
        <v>243</v>
      </c>
      <c r="C93" s="42"/>
      <c r="D93" s="42"/>
      <c r="E93" s="23"/>
      <c r="F93" s="34" t="s">
        <v>244</v>
      </c>
      <c r="G93" s="23"/>
      <c r="H93" s="34" t="s">
        <v>245</v>
      </c>
      <c r="I93" s="23"/>
      <c r="J93" s="17" t="s">
        <v>245</v>
      </c>
      <c r="K93" s="23"/>
      <c r="L93" s="17" t="s">
        <v>245</v>
      </c>
      <c r="M93" s="23"/>
      <c r="N93" s="17" t="s">
        <v>245</v>
      </c>
      <c r="O93" s="23"/>
      <c r="P93" s="17" t="s">
        <v>246</v>
      </c>
      <c r="Q93" s="23"/>
      <c r="R93" s="38" t="s">
        <v>247</v>
      </c>
    </row>
    <row r="94" spans="1:18" ht="52.8" x14ac:dyDescent="0.25">
      <c r="A94" s="2"/>
      <c r="B94" s="42" t="s">
        <v>248</v>
      </c>
      <c r="C94" s="42"/>
      <c r="D94" s="42"/>
      <c r="E94" s="23"/>
      <c r="F94" s="17"/>
      <c r="G94" s="23"/>
      <c r="H94" s="34" t="s">
        <v>249</v>
      </c>
      <c r="I94" s="23"/>
      <c r="J94" s="17" t="s">
        <v>250</v>
      </c>
      <c r="K94" s="23"/>
      <c r="L94" s="17" t="s">
        <v>250</v>
      </c>
      <c r="M94" s="23"/>
      <c r="N94" s="17" t="s">
        <v>250</v>
      </c>
      <c r="O94" s="23"/>
      <c r="P94" s="17"/>
      <c r="Q94" s="23"/>
      <c r="R94" s="38" t="s">
        <v>251</v>
      </c>
    </row>
    <row r="95" spans="1:18" ht="26.4" x14ac:dyDescent="0.25">
      <c r="A95" s="2"/>
      <c r="B95" s="42" t="s">
        <v>252</v>
      </c>
      <c r="C95" s="42"/>
      <c r="D95" s="42"/>
      <c r="E95" s="23"/>
      <c r="F95" s="17"/>
      <c r="G95" s="23"/>
      <c r="H95" s="36" t="s">
        <v>253</v>
      </c>
      <c r="I95" s="23"/>
      <c r="J95" s="26" t="s">
        <v>253</v>
      </c>
      <c r="K95" s="23"/>
      <c r="L95" s="26" t="s">
        <v>253</v>
      </c>
      <c r="M95" s="23"/>
      <c r="N95" s="26" t="s">
        <v>253</v>
      </c>
      <c r="O95" s="23"/>
      <c r="P95" s="17"/>
      <c r="Q95" s="23"/>
      <c r="R95" s="24"/>
    </row>
    <row r="96" spans="1:18" ht="52.8" x14ac:dyDescent="0.25">
      <c r="A96" s="2"/>
      <c r="B96" s="42" t="s">
        <v>254</v>
      </c>
      <c r="C96" s="42"/>
      <c r="D96" s="42"/>
      <c r="E96" s="23"/>
      <c r="F96" s="17"/>
      <c r="G96" s="23"/>
      <c r="H96" s="34" t="s">
        <v>255</v>
      </c>
      <c r="I96" s="23"/>
      <c r="J96" s="17" t="s">
        <v>256</v>
      </c>
      <c r="K96" s="23"/>
      <c r="L96" s="17" t="s">
        <v>256</v>
      </c>
      <c r="M96" s="23"/>
      <c r="N96" s="17" t="s">
        <v>256</v>
      </c>
      <c r="O96" s="23"/>
      <c r="P96" s="17"/>
      <c r="Q96" s="23"/>
      <c r="R96" s="38" t="s">
        <v>257</v>
      </c>
    </row>
    <row r="97" spans="1:18" ht="79.2" x14ac:dyDescent="0.25">
      <c r="A97" s="2"/>
      <c r="B97" s="42" t="s">
        <v>258</v>
      </c>
      <c r="C97" s="42"/>
      <c r="D97" s="42"/>
      <c r="E97" s="23"/>
      <c r="F97" s="17"/>
      <c r="G97" s="23"/>
      <c r="H97" s="34" t="s">
        <v>259</v>
      </c>
      <c r="I97" s="23"/>
      <c r="J97" s="17" t="s">
        <v>259</v>
      </c>
      <c r="K97" s="23"/>
      <c r="L97" s="17" t="s">
        <v>259</v>
      </c>
      <c r="M97" s="23"/>
      <c r="N97" s="17" t="s">
        <v>259</v>
      </c>
      <c r="O97" s="23"/>
      <c r="P97" s="17"/>
      <c r="Q97" s="23"/>
      <c r="R97" s="24"/>
    </row>
    <row r="98" spans="1:18" ht="39.6" x14ac:dyDescent="0.25">
      <c r="A98" s="2"/>
      <c r="B98" s="42" t="s">
        <v>260</v>
      </c>
      <c r="C98" s="42"/>
      <c r="D98" s="42"/>
      <c r="E98" s="23"/>
      <c r="F98" s="34" t="s">
        <v>261</v>
      </c>
      <c r="G98" s="23"/>
      <c r="H98" s="34" t="s">
        <v>262</v>
      </c>
      <c r="I98" s="23"/>
      <c r="J98" s="17" t="s">
        <v>263</v>
      </c>
      <c r="K98" s="23"/>
      <c r="L98" s="17" t="s">
        <v>263</v>
      </c>
      <c r="M98" s="23"/>
      <c r="N98" s="17" t="s">
        <v>263</v>
      </c>
      <c r="O98" s="23"/>
      <c r="P98" s="17" t="s">
        <v>264</v>
      </c>
      <c r="Q98" s="23"/>
      <c r="R98" s="24"/>
    </row>
    <row r="99" spans="1:18" ht="26.4" x14ac:dyDescent="0.25">
      <c r="A99" s="2"/>
      <c r="B99" s="42" t="s">
        <v>265</v>
      </c>
      <c r="C99" s="42"/>
      <c r="D99" s="42"/>
      <c r="E99" s="23"/>
      <c r="F99" s="36" t="s">
        <v>253</v>
      </c>
      <c r="G99" s="23"/>
      <c r="H99" s="17"/>
      <c r="I99" s="23"/>
      <c r="J99" s="17"/>
      <c r="K99" s="23"/>
      <c r="L99" s="17"/>
      <c r="M99" s="23"/>
      <c r="N99" s="17"/>
      <c r="O99" s="23"/>
      <c r="P99" s="26" t="s">
        <v>253</v>
      </c>
      <c r="Q99" s="23"/>
      <c r="R99" s="24"/>
    </row>
    <row r="100" spans="1:18" ht="66" x14ac:dyDescent="0.25">
      <c r="A100" s="2"/>
      <c r="B100" s="42" t="s">
        <v>266</v>
      </c>
      <c r="C100" s="42"/>
      <c r="D100" s="42"/>
      <c r="E100" s="23"/>
      <c r="F100" s="34" t="s">
        <v>267</v>
      </c>
      <c r="G100" s="23"/>
      <c r="H100" s="34" t="s">
        <v>268</v>
      </c>
      <c r="I100" s="23"/>
      <c r="J100" s="17" t="s">
        <v>269</v>
      </c>
      <c r="K100" s="23"/>
      <c r="L100" s="17" t="s">
        <v>269</v>
      </c>
      <c r="M100" s="23"/>
      <c r="N100" s="17" t="s">
        <v>269</v>
      </c>
      <c r="O100" s="23"/>
      <c r="P100" s="17" t="s">
        <v>270</v>
      </c>
      <c r="Q100" s="23"/>
      <c r="R100" s="24"/>
    </row>
    <row r="101" spans="1:18" ht="92.4" x14ac:dyDescent="0.25">
      <c r="A101" s="2"/>
      <c r="B101" s="41" t="s">
        <v>271</v>
      </c>
      <c r="C101" s="41"/>
      <c r="D101" s="41"/>
      <c r="E101" s="27"/>
      <c r="F101" s="17"/>
      <c r="G101" s="23"/>
      <c r="H101" s="34" t="s">
        <v>272</v>
      </c>
      <c r="I101" s="23"/>
      <c r="J101" s="17" t="s">
        <v>272</v>
      </c>
      <c r="K101" s="23"/>
      <c r="L101" s="17" t="s">
        <v>272</v>
      </c>
      <c r="M101" s="23"/>
      <c r="N101" s="17" t="s">
        <v>272</v>
      </c>
      <c r="O101" s="23"/>
      <c r="P101" s="17"/>
      <c r="Q101" s="23"/>
      <c r="R101" s="24"/>
    </row>
    <row r="102" spans="1:18" x14ac:dyDescent="0.25">
      <c r="A102" s="2"/>
      <c r="B102" s="44" t="s">
        <v>273</v>
      </c>
      <c r="C102" s="44"/>
      <c r="D102" s="44"/>
      <c r="E102" s="29"/>
      <c r="F102" s="35" t="s">
        <v>231</v>
      </c>
      <c r="G102" s="29"/>
      <c r="H102" s="30"/>
      <c r="I102" s="29"/>
      <c r="J102" s="30"/>
      <c r="K102" s="29"/>
      <c r="L102" s="30"/>
      <c r="M102" s="29"/>
      <c r="N102" s="30"/>
      <c r="O102" s="29"/>
      <c r="P102" s="30"/>
      <c r="Q102" s="29"/>
      <c r="R102" s="31"/>
    </row>
    <row r="103" spans="1:18" x14ac:dyDescent="0.25">
      <c r="A103" s="2"/>
    </row>
    <row r="104" spans="1:18" x14ac:dyDescent="0.25">
      <c r="A104" s="2"/>
    </row>
    <row r="105" spans="1:18" x14ac:dyDescent="0.25">
      <c r="A105" s="2"/>
    </row>
    <row r="106" spans="1:18" x14ac:dyDescent="0.25">
      <c r="B106"/>
      <c r="C106"/>
    </row>
    <row r="107" spans="1:18" x14ac:dyDescent="0.25">
      <c r="B107"/>
      <c r="C107"/>
    </row>
    <row r="108" spans="1:18" x14ac:dyDescent="0.25">
      <c r="B108"/>
      <c r="C108"/>
    </row>
    <row r="109" spans="1:18" x14ac:dyDescent="0.25">
      <c r="B109"/>
      <c r="C109"/>
    </row>
    <row r="110" spans="1:18" x14ac:dyDescent="0.25">
      <c r="B110"/>
      <c r="C110"/>
    </row>
    <row r="111" spans="1:18" x14ac:dyDescent="0.25">
      <c r="B111"/>
      <c r="C111"/>
    </row>
    <row r="112" spans="1:18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</sheetData>
  <mergeCells count="21">
    <mergeCell ref="B102:D102"/>
    <mergeCell ref="A2:A17"/>
    <mergeCell ref="B88:D88"/>
    <mergeCell ref="B86:D86"/>
    <mergeCell ref="B84:D84"/>
    <mergeCell ref="U3:Y3"/>
    <mergeCell ref="U5:Y5"/>
    <mergeCell ref="U6:Y6"/>
    <mergeCell ref="B101:D101"/>
    <mergeCell ref="B91:D91"/>
    <mergeCell ref="B93:D93"/>
    <mergeCell ref="B98:D98"/>
    <mergeCell ref="B85:D85"/>
    <mergeCell ref="B90:D90"/>
    <mergeCell ref="B92:D92"/>
    <mergeCell ref="B94:D94"/>
    <mergeCell ref="B95:D95"/>
    <mergeCell ref="B96:D96"/>
    <mergeCell ref="B97:D97"/>
    <mergeCell ref="B99:D99"/>
    <mergeCell ref="B100:D100"/>
  </mergeCells>
  <phoneticPr fontId="6" type="noConversion"/>
  <conditionalFormatting sqref="C3:C81">
    <cfRule type="cellIs" dxfId="4" priority="11" operator="equal">
      <formula>C2</formula>
    </cfRule>
  </conditionalFormatting>
  <conditionalFormatting sqref="E85:E102 G85:G102 I85:I102 K85:K102 M85:M102 O85:O102 Q85:Q102">
    <cfRule type="expression" dxfId="2" priority="1">
      <formula>ISBLANK(F85)</formula>
    </cfRule>
  </conditionalFormatting>
  <conditionalFormatting sqref="F85:F102 H85:H102 J85:J102 L85:L102 N85:N102 P85:P102 R85:R102">
    <cfRule type="containsBlanks" dxfId="0" priority="2">
      <formula>LEN(TRIM(F85))=0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DCA0E37E-A974-4675-B29C-E01155B9ECAB}">
            <xm:f>Identifier!F3=0</xm:f>
            <x14:dxf>
              <font>
                <color theme="0" tint="-0.14996795556505021"/>
              </font>
              <fill>
                <patternFill>
                  <bgColor theme="0" tint="-0.14996795556505021"/>
                </patternFill>
              </fill>
            </x14:dxf>
          </x14:cfRule>
          <xm:sqref>E3:E81 G3:G81 I3:I81 K3:K81 M3:M81 O3:O81 Q3:Q81</xm:sqref>
        </x14:conditionalFormatting>
        <x14:conditionalFormatting xmlns:xm="http://schemas.microsoft.com/office/excel/2006/main">
          <x14:cfRule type="expression" priority="3" id="{125C5C4F-F266-4BA8-91C2-C208D252A3E3}">
            <xm:f>Identifier!F3=0</xm:f>
            <x14:dxf>
              <font>
                <color theme="0" tint="-0.14996795556505021"/>
              </font>
              <fill>
                <patternFill>
                  <bgColor theme="0" tint="-0.14996795556505021"/>
                </patternFill>
              </fill>
            </x14:dxf>
          </x14:cfRule>
          <xm:sqref>F3:F81 H3:H81 J3:J81 L3:L81 N3:N81 P3:P81 R3:R81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3af126-92eb-4bb5-8bfd-1661103a2928" xsi:nil="true"/>
    <lcf76f155ced4ddcb4097134ff3c332f xmlns="3a8d4d7c-93f5-426f-a945-bafc8a1d5f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D5D19322A25441A0E7DF942277841B" ma:contentTypeVersion="20" ma:contentTypeDescription="Create a new document." ma:contentTypeScope="" ma:versionID="06ad4f5f668a7c80490194eb43aec983">
  <xsd:schema xmlns:xsd="http://www.w3.org/2001/XMLSchema" xmlns:xs="http://www.w3.org/2001/XMLSchema" xmlns:p="http://schemas.microsoft.com/office/2006/metadata/properties" xmlns:ns2="3a8d4d7c-93f5-426f-a945-bafc8a1d5fa0" xmlns:ns3="511c7824-8c51-4a6c-988f-bb30333fe00f" xmlns:ns4="213af126-92eb-4bb5-8bfd-1661103a2928" targetNamespace="http://schemas.microsoft.com/office/2006/metadata/properties" ma:root="true" ma:fieldsID="36413c348ab4c8226c2e57c89de74045" ns2:_="" ns3:_="" ns4:_="">
    <xsd:import namespace="3a8d4d7c-93f5-426f-a945-bafc8a1d5fa0"/>
    <xsd:import namespace="511c7824-8c51-4a6c-988f-bb30333fe00f"/>
    <xsd:import namespace="213af126-92eb-4bb5-8bfd-1661103a29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d4d7c-93f5-426f-a945-bafc8a1d5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bc46713-8fa2-488a-ac8b-ad618560c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c7824-8c51-4a6c-988f-bb30333fe00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af126-92eb-4bb5-8bfd-1661103a292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248ddcb-4355-402c-9fa8-1d52e8dbcf59}" ma:internalName="TaxCatchAll" ma:showField="CatchAllData" ma:web="511c7824-8c51-4a6c-988f-bb30333fe0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57B56-5F90-4556-AB76-A081AA051D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20F71B-5314-418C-BF67-69CB684B2BA6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213af126-92eb-4bb5-8bfd-1661103a2928"/>
    <ds:schemaRef ds:uri="http://purl.org/dc/dcmitype/"/>
    <ds:schemaRef ds:uri="3a8d4d7c-93f5-426f-a945-bafc8a1d5fa0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11c7824-8c51-4a6c-988f-bb30333fe00f"/>
  </ds:schemaRefs>
</ds:datastoreItem>
</file>

<file path=customXml/itemProps3.xml><?xml version="1.0" encoding="utf-8"?>
<ds:datastoreItem xmlns:ds="http://schemas.openxmlformats.org/officeDocument/2006/customXml" ds:itemID="{DE9A4D17-BB59-4547-BAAF-2AA77515ED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8d4d7c-93f5-426f-a945-bafc8a1d5fa0"/>
    <ds:schemaRef ds:uri="511c7824-8c51-4a6c-988f-bb30333fe00f"/>
    <ds:schemaRef ds:uri="213af126-92eb-4bb5-8bfd-1661103a2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Identifier</vt:lpstr>
      <vt:lpstr>DCT Norms Basis</vt:lpstr>
    </vt:vector>
  </TitlesOfParts>
  <Manager/>
  <Company>Reliance Industries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Veeramani Shanmugam</dc:creator>
  <cp:keywords/>
  <dc:description/>
  <cp:lastModifiedBy>Dahake, Chaitali</cp:lastModifiedBy>
  <cp:revision/>
  <dcterms:created xsi:type="dcterms:W3CDTF">2025-03-04T17:34:54Z</dcterms:created>
  <dcterms:modified xsi:type="dcterms:W3CDTF">2025-06-02T05:02:58Z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0x01010028D5D19322A25441A0E7DF942277841B</vt:lpwstr>
  </property>
  <property fmtid="{D5CDD505-2E9C-101B-9397-08002B2CF9AE}" pid="3" name="MediaServiceImageTags">
    <vt:lpwstr/>
  </property>
</Properties>
</file>